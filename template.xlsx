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5530" windowHeight="8070"/>
  </bookViews>
  <sheets>
    <sheet name="Main" sheetId="38" r:id="rId1"/>
  </sheets>
  <calcPr calcId="162913"/>
</workbook>
</file>

<file path=xl/calcChain.xml><?xml version="1.0" encoding="utf-8"?>
<calcChain xmlns="http://schemas.openxmlformats.org/spreadsheetml/2006/main">
  <c r="S10" i="38" l="1"/>
  <c r="R10" i="38"/>
  <c r="Q10" i="38"/>
  <c r="A10" i="38"/>
  <c r="L101" i="38" l="1"/>
  <c r="I101" i="38"/>
  <c r="F101" i="38"/>
  <c r="O101" i="38" l="1"/>
  <c r="A100" i="38" l="1"/>
  <c r="A99" i="38"/>
  <c r="A98" i="38"/>
  <c r="A97" i="38"/>
  <c r="A96" i="38"/>
  <c r="A95" i="38"/>
  <c r="A94" i="38"/>
  <c r="A93" i="38"/>
  <c r="A92" i="38"/>
  <c r="A91" i="38"/>
  <c r="A90" i="38"/>
  <c r="A89" i="38"/>
  <c r="A88" i="38"/>
  <c r="A87" i="38"/>
  <c r="A86" i="38"/>
  <c r="A85" i="38"/>
  <c r="A84" i="38"/>
  <c r="A83" i="38"/>
  <c r="A82" i="38"/>
  <c r="A81" i="38"/>
  <c r="A80" i="38"/>
  <c r="A79" i="38"/>
  <c r="A78" i="38"/>
  <c r="A77" i="38"/>
  <c r="A76" i="38"/>
  <c r="A75" i="38"/>
  <c r="A74" i="38"/>
  <c r="A73" i="38"/>
  <c r="A72" i="38"/>
  <c r="A71" i="38"/>
  <c r="A70" i="38"/>
  <c r="A69" i="38"/>
  <c r="A68" i="38"/>
  <c r="A67" i="38"/>
  <c r="A66" i="38"/>
  <c r="A65" i="38"/>
  <c r="A64" i="38"/>
  <c r="A63" i="38"/>
  <c r="A62" i="38"/>
  <c r="A61" i="38"/>
  <c r="A60" i="38"/>
  <c r="A59" i="38"/>
  <c r="A58" i="38"/>
  <c r="A57" i="38"/>
  <c r="A56" i="38"/>
  <c r="A55" i="38"/>
  <c r="A54" i="38"/>
  <c r="A53" i="38"/>
  <c r="A52" i="38"/>
  <c r="A51" i="38"/>
  <c r="A50" i="38"/>
  <c r="A49" i="38"/>
  <c r="A48" i="38"/>
  <c r="A47" i="38"/>
  <c r="A46" i="38"/>
  <c r="A45" i="38"/>
  <c r="A44" i="38"/>
  <c r="A43" i="38"/>
  <c r="A42" i="38"/>
  <c r="A41" i="38"/>
  <c r="A40" i="38"/>
  <c r="A39" i="38"/>
  <c r="A38" i="38"/>
  <c r="A37" i="38"/>
  <c r="A36" i="38"/>
  <c r="A35" i="38"/>
  <c r="A34" i="38"/>
  <c r="A33" i="38"/>
  <c r="A32" i="38"/>
  <c r="A31" i="38"/>
  <c r="A30" i="38"/>
  <c r="A29" i="38"/>
  <c r="A28" i="38"/>
  <c r="A27" i="38"/>
  <c r="A26" i="38"/>
  <c r="A25" i="38"/>
  <c r="A24" i="38"/>
  <c r="A23" i="38"/>
  <c r="A22" i="38"/>
  <c r="A21" i="38"/>
  <c r="A20" i="38"/>
  <c r="A19" i="38"/>
  <c r="A18" i="38"/>
  <c r="A17" i="38"/>
  <c r="A16" i="38"/>
  <c r="A15" i="38"/>
  <c r="A14" i="38"/>
  <c r="A13" i="38"/>
  <c r="A12" i="38"/>
  <c r="A11" i="38"/>
</calcChain>
</file>

<file path=xl/sharedStrings.xml><?xml version="1.0" encoding="utf-8"?>
<sst xmlns="http://schemas.openxmlformats.org/spreadsheetml/2006/main" count="34" uniqueCount="26">
  <si>
    <r>
      <t xml:space="preserve">   </t>
    </r>
    <r>
      <rPr>
        <b/>
        <sz val="12"/>
        <rFont val="新細明體"/>
        <family val="1"/>
        <charset val="136"/>
      </rPr>
      <t>原</t>
    </r>
    <r>
      <rPr>
        <b/>
        <sz val="12"/>
        <rFont val="Times New Roman"/>
        <family val="1"/>
      </rPr>
      <t xml:space="preserve">       </t>
    </r>
    <r>
      <rPr>
        <b/>
        <sz val="12"/>
        <rFont val="新細明體"/>
        <family val="1"/>
        <charset val="136"/>
      </rPr>
      <t>型</t>
    </r>
    <r>
      <rPr>
        <b/>
        <sz val="12"/>
        <rFont val="Times New Roman"/>
        <family val="1"/>
      </rPr>
      <t>(CNC)</t>
    </r>
    <phoneticPr fontId="4" type="noConversion"/>
  </si>
  <si>
    <r>
      <t xml:space="preserve">     </t>
    </r>
    <r>
      <rPr>
        <b/>
        <sz val="12"/>
        <rFont val="新細明體"/>
        <family val="1"/>
        <charset val="136"/>
      </rPr>
      <t>矽</t>
    </r>
    <r>
      <rPr>
        <b/>
        <sz val="12"/>
        <rFont val="Times New Roman"/>
        <family val="1"/>
      </rPr>
      <t xml:space="preserve"> </t>
    </r>
    <r>
      <rPr>
        <b/>
        <sz val="12"/>
        <rFont val="新細明體"/>
        <family val="1"/>
        <charset val="136"/>
      </rPr>
      <t>膠</t>
    </r>
    <r>
      <rPr>
        <b/>
        <sz val="12"/>
        <rFont val="Times New Roman"/>
        <family val="1"/>
      </rPr>
      <t xml:space="preserve"> </t>
    </r>
    <r>
      <rPr>
        <b/>
        <sz val="12"/>
        <rFont val="新細明體"/>
        <family val="1"/>
        <charset val="136"/>
      </rPr>
      <t>模</t>
    </r>
    <r>
      <rPr>
        <b/>
        <sz val="12"/>
        <rFont val="Times New Roman"/>
        <family val="1"/>
      </rPr>
      <t xml:space="preserve"> </t>
    </r>
    <r>
      <rPr>
        <b/>
        <sz val="12"/>
        <rFont val="新細明體"/>
        <family val="1"/>
        <charset val="136"/>
      </rPr>
      <t>具</t>
    </r>
    <r>
      <rPr>
        <b/>
        <sz val="12"/>
        <rFont val="Times New Roman"/>
        <family val="1"/>
      </rPr>
      <t xml:space="preserve">            </t>
    </r>
    <phoneticPr fontId="4" type="noConversion"/>
  </si>
  <si>
    <r>
      <t xml:space="preserve">   </t>
    </r>
    <r>
      <rPr>
        <b/>
        <sz val="12"/>
        <rFont val="新細明體"/>
        <family val="1"/>
        <charset val="136"/>
      </rPr>
      <t>注</t>
    </r>
    <r>
      <rPr>
        <b/>
        <sz val="12"/>
        <rFont val="Times New Roman"/>
        <family val="1"/>
      </rPr>
      <t xml:space="preserve">      </t>
    </r>
    <r>
      <rPr>
        <b/>
        <sz val="12"/>
        <rFont val="新細明體"/>
        <family val="1"/>
        <charset val="136"/>
      </rPr>
      <t>型</t>
    </r>
    <phoneticPr fontId="4" type="noConversion"/>
  </si>
  <si>
    <t>備   註</t>
    <phoneticPr fontId="4" type="noConversion"/>
  </si>
  <si>
    <t>序項</t>
    <phoneticPr fontId="4" type="noConversion"/>
  </si>
  <si>
    <t>品    名</t>
    <phoneticPr fontId="4" type="noConversion"/>
  </si>
  <si>
    <t>材質</t>
    <phoneticPr fontId="4" type="noConversion"/>
  </si>
  <si>
    <t>數量</t>
    <phoneticPr fontId="4" type="noConversion"/>
  </si>
  <si>
    <t>單價</t>
    <phoneticPr fontId="4" type="noConversion"/>
  </si>
  <si>
    <t>金額</t>
    <phoneticPr fontId="4" type="noConversion"/>
  </si>
  <si>
    <t>尺寸</t>
    <phoneticPr fontId="3" type="noConversion"/>
  </si>
  <si>
    <r>
      <rPr>
        <sz val="14"/>
        <rFont val="標楷體"/>
        <family val="4"/>
        <charset val="136"/>
      </rPr>
      <t>客戶名稱：</t>
    </r>
    <phoneticPr fontId="4" type="noConversion"/>
  </si>
  <si>
    <r>
      <rPr>
        <sz val="14"/>
        <rFont val="標楷體"/>
        <family val="4"/>
        <charset val="136"/>
      </rPr>
      <t>聯</t>
    </r>
    <r>
      <rPr>
        <sz val="14"/>
        <rFont val="Verdana"/>
        <family val="2"/>
      </rPr>
      <t xml:space="preserve">  </t>
    </r>
    <r>
      <rPr>
        <sz val="14"/>
        <rFont val="標楷體"/>
        <family val="4"/>
        <charset val="136"/>
      </rPr>
      <t>絡</t>
    </r>
    <r>
      <rPr>
        <sz val="14"/>
        <rFont val="Verdana"/>
        <family val="2"/>
      </rPr>
      <t xml:space="preserve"> </t>
    </r>
    <r>
      <rPr>
        <sz val="14"/>
        <rFont val="標楷體"/>
        <family val="4"/>
        <charset val="136"/>
      </rPr>
      <t>人</t>
    </r>
    <r>
      <rPr>
        <sz val="14"/>
        <rFont val="Verdana"/>
        <family val="2"/>
      </rPr>
      <t xml:space="preserve"> </t>
    </r>
    <r>
      <rPr>
        <sz val="14"/>
        <rFont val="標楷體"/>
        <family val="4"/>
        <charset val="136"/>
      </rPr>
      <t>：</t>
    </r>
    <phoneticPr fontId="4" type="noConversion"/>
  </si>
  <si>
    <r>
      <rPr>
        <sz val="14"/>
        <rFont val="標楷體"/>
        <family val="4"/>
        <charset val="136"/>
      </rPr>
      <t>聯絡電話：</t>
    </r>
    <phoneticPr fontId="4" type="noConversion"/>
  </si>
  <si>
    <r>
      <rPr>
        <sz val="14"/>
        <rFont val="標楷體"/>
        <family val="4"/>
        <charset val="136"/>
      </rPr>
      <t>傳　　真：</t>
    </r>
    <phoneticPr fontId="4" type="noConversion"/>
  </si>
  <si>
    <r>
      <t>合</t>
    </r>
    <r>
      <rPr>
        <b/>
        <sz val="12"/>
        <color indexed="10"/>
        <rFont val="Times New Roman"/>
        <family val="1"/>
      </rPr>
      <t xml:space="preserve">  </t>
    </r>
    <r>
      <rPr>
        <b/>
        <sz val="12"/>
        <color indexed="10"/>
        <rFont val="新細明體"/>
        <family val="1"/>
        <charset val="136"/>
      </rPr>
      <t>計</t>
    </r>
    <phoneticPr fontId="4" type="noConversion"/>
  </si>
  <si>
    <r>
      <t>金額</t>
    </r>
    <r>
      <rPr>
        <b/>
        <sz val="12"/>
        <color indexed="10"/>
        <rFont val="Times New Roman"/>
        <family val="1"/>
      </rPr>
      <t>:</t>
    </r>
    <phoneticPr fontId="4" type="noConversion"/>
  </si>
  <si>
    <t>總金額:</t>
    <phoneticPr fontId="4" type="noConversion"/>
  </si>
  <si>
    <r>
      <t>★本估價單不含</t>
    </r>
    <r>
      <rPr>
        <b/>
        <sz val="12"/>
        <rFont val="Times New Roman"/>
        <family val="1"/>
      </rPr>
      <t>5%</t>
    </r>
    <r>
      <rPr>
        <b/>
        <sz val="12"/>
        <rFont val="新細明體"/>
        <family val="1"/>
        <charset val="136"/>
      </rPr>
      <t>營業稅</t>
    </r>
    <r>
      <rPr>
        <b/>
        <sz val="12"/>
        <rFont val="Times New Roman"/>
        <family val="1"/>
      </rPr>
      <t>.</t>
    </r>
    <phoneticPr fontId="4" type="noConversion"/>
  </si>
  <si>
    <r>
      <t>★本格式專供報價</t>
    </r>
    <r>
      <rPr>
        <b/>
        <sz val="12"/>
        <rFont val="Times New Roman"/>
        <family val="1"/>
      </rPr>
      <t>,</t>
    </r>
    <r>
      <rPr>
        <b/>
        <sz val="12"/>
        <rFont val="新細明體"/>
        <family val="1"/>
        <charset val="136"/>
      </rPr>
      <t>出貨</t>
    </r>
    <r>
      <rPr>
        <b/>
        <sz val="12"/>
        <rFont val="Times New Roman"/>
        <family val="1"/>
      </rPr>
      <t>,</t>
    </r>
    <r>
      <rPr>
        <b/>
        <sz val="12"/>
        <rFont val="新細明體"/>
        <family val="1"/>
        <charset val="136"/>
      </rPr>
      <t>對帳之用</t>
    </r>
    <r>
      <rPr>
        <b/>
        <sz val="12"/>
        <rFont val="Times New Roman"/>
        <family val="1"/>
      </rPr>
      <t>.</t>
    </r>
    <phoneticPr fontId="4" type="noConversion"/>
  </si>
  <si>
    <r>
      <t>★付款方式</t>
    </r>
    <r>
      <rPr>
        <b/>
        <sz val="12"/>
        <rFont val="Times New Roman"/>
        <family val="1"/>
      </rPr>
      <t>:</t>
    </r>
    <phoneticPr fontId="4" type="noConversion"/>
  </si>
  <si>
    <r>
      <rPr>
        <b/>
        <sz val="12"/>
        <rFont val="新細明體"/>
        <family val="1"/>
        <charset val="136"/>
      </rPr>
      <t>★預估交期</t>
    </r>
    <r>
      <rPr>
        <b/>
        <sz val="12"/>
        <rFont val="Times New Roman"/>
        <family val="1"/>
      </rPr>
      <t xml:space="preserve">:   </t>
    </r>
    <phoneticPr fontId="4" type="noConversion"/>
  </si>
  <si>
    <t>客戶確認回傳：</t>
    <phoneticPr fontId="4" type="noConversion"/>
  </si>
  <si>
    <t>報價日期：</t>
  </si>
  <si>
    <t>統編 :</t>
    <phoneticPr fontId="4" type="noConversion"/>
  </si>
  <si>
    <r>
      <rPr>
        <b/>
        <sz val="12"/>
        <rFont val="新細明體"/>
        <family val="1"/>
        <charset val="136"/>
      </rPr>
      <t>　　　　　聯絡代表：</t>
    </r>
    <r>
      <rPr>
        <b/>
        <sz val="22"/>
        <rFont val="Verdana"/>
        <family val="2"/>
      </rPr>
      <t xml:space="preserve">
</t>
    </r>
    <r>
      <rPr>
        <b/>
        <sz val="22"/>
        <rFont val="新細明體"/>
        <family val="1"/>
        <charset val="136"/>
      </rPr>
      <t>　　　　　</t>
    </r>
    <r>
      <rPr>
        <b/>
        <sz val="22"/>
        <rFont val="Verdana"/>
        <family val="2"/>
      </rPr>
      <t xml:space="preserve">  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</si>
</sst>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43" formatCode="_-* #,##0.00_-;\-* #,##0.00_-;_-* &quot;-&quot;??_-;_-@_-"/>
    <numFmt numFmtId="176" formatCode="&quot; $&quot;#,##0.00&quot; &quot;;&quot;-$&quot;#,##0.00&quot; &quot;;&quot; $-&quot;#&quot; &quot;;@&quot; &quot;"/>
    <numFmt numFmtId="177" formatCode="m&quot;月&quot;d&quot;日&quot;"/>
    <numFmt numFmtId="178" formatCode="[$]@"/>
    <numFmt numFmtId="179" formatCode="0_);[Red]\(0\)"/>
  </numFmts>
  <fonts count="82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0"/>
      <name val="標楷體"/>
      <family val="4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20"/>
      <name val="Times New Roman"/>
      <family val="1"/>
    </font>
    <font>
      <b/>
      <sz val="12"/>
      <name val="Times New Roman"/>
      <family val="1"/>
    </font>
    <font>
      <sz val="14"/>
      <name val="標楷體"/>
      <family val="4"/>
      <charset val="136"/>
    </font>
    <font>
      <sz val="14"/>
      <name val="Times New Roman"/>
      <family val="1"/>
    </font>
    <font>
      <sz val="14"/>
      <name val="Verdana"/>
      <family val="2"/>
    </font>
    <font>
      <sz val="14"/>
      <name val="新細明體"/>
      <family val="1"/>
      <charset val="136"/>
    </font>
    <font>
      <sz val="14"/>
      <name val="細明體"/>
      <family val="3"/>
      <charset val="136"/>
    </font>
    <font>
      <sz val="12"/>
      <name val="Times New Roman"/>
      <family val="1"/>
    </font>
    <font>
      <b/>
      <sz val="12"/>
      <color indexed="10"/>
      <name val="Times New Roman"/>
      <family val="1"/>
    </font>
    <font>
      <b/>
      <sz val="12"/>
      <color indexed="10"/>
      <name val="新細明體"/>
      <family val="1"/>
      <charset val="136"/>
      <scheme val="major"/>
    </font>
    <font>
      <sz val="12"/>
      <name val="新細明體"/>
      <family val="1"/>
      <charset val="136"/>
      <scheme val="minor"/>
    </font>
    <font>
      <sz val="12"/>
      <name val="Verdana"/>
      <family val="2"/>
    </font>
    <font>
      <b/>
      <sz val="12"/>
      <name val="新細明體"/>
      <family val="1"/>
      <charset val="136"/>
      <scheme val="major"/>
    </font>
    <font>
      <b/>
      <sz val="12"/>
      <name val="新細明體"/>
      <family val="1"/>
      <charset val="136"/>
    </font>
    <font>
      <b/>
      <sz val="12"/>
      <color indexed="10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sz val="12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12"/>
      <color rgb="FF000000"/>
      <name val="新細明體11"/>
      <family val="1"/>
      <charset val="136"/>
    </font>
    <font>
      <b/>
      <sz val="12"/>
      <color rgb="FF000000"/>
      <name val="新細明體"/>
      <family val="1"/>
      <charset val="136"/>
    </font>
    <font>
      <b/>
      <sz val="12"/>
      <name val="新細明體"/>
      <family val="1"/>
      <charset val="136"/>
      <scheme val="minor"/>
    </font>
    <font>
      <b/>
      <sz val="12"/>
      <color indexed="8"/>
      <name val="新細明體"/>
      <family val="1"/>
      <charset val="136"/>
      <scheme val="minor"/>
    </font>
    <font>
      <b/>
      <sz val="12"/>
      <color rgb="FF000000"/>
      <name val="新細明體"/>
      <family val="1"/>
      <charset val="136"/>
      <scheme val="minor"/>
    </font>
    <font>
      <b/>
      <sz val="12"/>
      <name val="細明體"/>
      <family val="3"/>
      <charset val="136"/>
    </font>
    <font>
      <b/>
      <sz val="12"/>
      <color indexed="10"/>
      <name val="細明體"/>
      <family val="3"/>
      <charset val="136"/>
    </font>
    <font>
      <b/>
      <sz val="12"/>
      <color indexed="8"/>
      <name val="新細明體"/>
      <family val="1"/>
      <charset val="136"/>
    </font>
    <font>
      <b/>
      <sz val="12"/>
      <name val="Verdana"/>
      <family val="2"/>
    </font>
    <font>
      <b/>
      <sz val="22"/>
      <name val="Verdana"/>
      <family val="2"/>
    </font>
    <font>
      <b/>
      <sz val="22"/>
      <name val="新細明體"/>
      <family val="1"/>
      <charset val="136"/>
    </font>
    <font>
      <b/>
      <sz val="12"/>
      <color theme="1"/>
      <name val="細明體"/>
      <family val="3"/>
      <charset val="136"/>
    </font>
    <font>
      <b/>
      <sz val="12"/>
      <color rgb="FFFF0000"/>
      <name val="新細明體"/>
      <family val="1"/>
      <charset val="136"/>
    </font>
    <font>
      <b/>
      <sz val="1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  <scheme val="minor"/>
    </font>
    <font>
      <sz val="12"/>
      <color indexed="8"/>
      <name val="新細明體"/>
      <family val="1"/>
      <charset val="136"/>
    </font>
    <font>
      <sz val="12"/>
      <color indexed="8"/>
      <name val="宋体"/>
      <family val="3"/>
      <charset val="136"/>
    </font>
    <font>
      <sz val="10"/>
      <name val="Helv"/>
      <family val="2"/>
    </font>
    <font>
      <sz val="12"/>
      <color indexed="8"/>
      <name val="新細明體1"/>
      <family val="1"/>
      <charset val="136"/>
    </font>
    <font>
      <sz val="11"/>
      <color theme="1"/>
      <name val="新細明體"/>
      <family val="1"/>
      <charset val="136"/>
      <scheme val="minor"/>
    </font>
    <font>
      <sz val="10"/>
      <name val="Arial"/>
      <family val="2"/>
    </font>
    <font>
      <sz val="12"/>
      <color indexed="8"/>
      <name val="宋体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1"/>
      <color indexed="8"/>
      <name val="宋体"/>
      <charset val="136"/>
    </font>
    <font>
      <sz val="11"/>
      <color indexed="9"/>
      <name val="宋体"/>
      <charset val="136"/>
    </font>
    <font>
      <u/>
      <sz val="10"/>
      <color indexed="12"/>
      <name val="Arial"/>
      <family val="2"/>
    </font>
    <font>
      <sz val="11"/>
      <color indexed="17"/>
      <name val="宋体"/>
      <charset val="136"/>
    </font>
    <font>
      <sz val="12"/>
      <name val="宋体"/>
      <charset val="136"/>
    </font>
    <font>
      <sz val="11"/>
      <color indexed="20"/>
      <name val="宋体"/>
      <charset val="136"/>
    </font>
    <font>
      <sz val="11"/>
      <color indexed="60"/>
      <name val="宋体"/>
      <charset val="136"/>
    </font>
    <font>
      <i/>
      <sz val="11"/>
      <color indexed="23"/>
      <name val="宋体"/>
      <charset val="136"/>
    </font>
    <font>
      <sz val="11"/>
      <color indexed="62"/>
      <name val="宋体"/>
      <charset val="136"/>
    </font>
    <font>
      <b/>
      <sz val="11"/>
      <color indexed="63"/>
      <name val="宋体"/>
      <charset val="136"/>
    </font>
    <font>
      <sz val="11"/>
      <color indexed="10"/>
      <name val="宋体"/>
      <charset val="136"/>
    </font>
    <font>
      <b/>
      <sz val="18"/>
      <color indexed="56"/>
      <name val="宋体"/>
      <charset val="136"/>
    </font>
    <font>
      <b/>
      <sz val="15"/>
      <color indexed="56"/>
      <name val="宋体"/>
      <charset val="136"/>
    </font>
    <font>
      <b/>
      <sz val="13"/>
      <color indexed="56"/>
      <name val="宋体"/>
      <charset val="136"/>
    </font>
    <font>
      <b/>
      <sz val="11"/>
      <color indexed="56"/>
      <name val="宋体"/>
      <charset val="136"/>
    </font>
    <font>
      <b/>
      <sz val="11"/>
      <color indexed="9"/>
      <name val="宋体"/>
      <charset val="136"/>
    </font>
    <font>
      <b/>
      <sz val="11"/>
      <color indexed="8"/>
      <name val="宋体"/>
      <charset val="136"/>
    </font>
    <font>
      <b/>
      <sz val="11"/>
      <color indexed="52"/>
      <name val="宋体"/>
      <charset val="136"/>
    </font>
    <font>
      <sz val="11"/>
      <color indexed="52"/>
      <name val="宋体"/>
      <charset val="136"/>
    </font>
    <font>
      <sz val="10"/>
      <name val="微軟正黑體"/>
      <family val="2"/>
      <charset val="136"/>
    </font>
    <font>
      <b/>
      <sz val="12"/>
      <color theme="1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</fills>
  <borders count="10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8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8"/>
      </right>
      <top style="medium">
        <color indexed="64"/>
      </top>
      <bottom style="medium">
        <color indexed="64"/>
      </bottom>
      <diagonal/>
    </border>
    <border>
      <left style="double">
        <color indexed="8"/>
      </left>
      <right/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3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3"/>
      </bottom>
      <diagonal/>
    </border>
    <border>
      <left style="thin">
        <color indexed="64"/>
      </left>
      <right style="double">
        <color indexed="8"/>
      </right>
      <top style="medium">
        <color indexed="64"/>
      </top>
      <bottom style="double">
        <color indexed="63"/>
      </bottom>
      <diagonal/>
    </border>
    <border>
      <left style="double">
        <color indexed="8"/>
      </left>
      <right style="thin">
        <color indexed="64"/>
      </right>
      <top style="medium">
        <color indexed="64"/>
      </top>
      <bottom style="double">
        <color indexed="63"/>
      </bottom>
      <diagonal/>
    </border>
    <border>
      <left style="double">
        <color indexed="8"/>
      </left>
      <right/>
      <top style="medium">
        <color indexed="8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8"/>
      </right>
      <top/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8"/>
      </left>
      <right style="thin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medium">
        <color indexed="64"/>
      </right>
      <top style="double">
        <color indexed="8"/>
      </top>
      <bottom/>
      <diagonal/>
    </border>
    <border>
      <left style="medium">
        <color indexed="64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 style="medium">
        <color indexed="64"/>
      </right>
      <top/>
      <bottom style="double">
        <color indexed="8"/>
      </bottom>
      <diagonal/>
    </border>
    <border>
      <left/>
      <right style="thin">
        <color indexed="8"/>
      </right>
      <top style="double">
        <color indexed="8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8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indexed="63"/>
      </left>
      <right style="thin">
        <color indexed="64"/>
      </right>
      <top style="thin">
        <color indexed="63"/>
      </top>
      <bottom style="thin">
        <color indexed="63"/>
      </bottom>
      <diagonal/>
    </border>
    <border>
      <left style="double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double">
        <color indexed="8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/>
      <top style="medium">
        <color indexed="8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 style="thin">
        <color indexed="64"/>
      </left>
      <right/>
      <top style="medium">
        <color indexed="64"/>
      </top>
      <bottom style="double">
        <color indexed="8"/>
      </bottom>
      <diagonal/>
    </border>
    <border>
      <left/>
      <right style="double">
        <color indexed="8"/>
      </right>
      <top style="medium">
        <color indexed="64"/>
      </top>
      <bottom style="double">
        <color indexed="8"/>
      </bottom>
      <diagonal/>
    </border>
    <border>
      <left style="thin">
        <color indexed="8"/>
      </left>
      <right/>
      <top style="double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8"/>
      </bottom>
      <diagonal/>
    </border>
  </borders>
  <cellStyleXfs count="15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1" fillId="0" borderId="0"/>
    <xf numFmtId="176" fontId="23" fillId="0" borderId="0">
      <alignment vertical="center"/>
    </xf>
    <xf numFmtId="0" fontId="21" fillId="0" borderId="0"/>
    <xf numFmtId="0" fontId="21" fillId="0" borderId="0"/>
    <xf numFmtId="0" fontId="37" fillId="0" borderId="0">
      <alignment vertical="center"/>
    </xf>
    <xf numFmtId="0" fontId="37" fillId="0" borderId="0">
      <alignment vertical="center"/>
    </xf>
    <xf numFmtId="0" fontId="21" fillId="0" borderId="0"/>
    <xf numFmtId="0" fontId="21" fillId="0" borderId="0"/>
    <xf numFmtId="0" fontId="42" fillId="0" borderId="0">
      <alignment vertical="center"/>
    </xf>
    <xf numFmtId="0" fontId="21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0" fillId="0" borderId="0">
      <alignment vertical="center"/>
    </xf>
    <xf numFmtId="41" fontId="21" fillId="0" borderId="0" applyFont="0" applyFill="0" applyBorder="0" applyAlignment="0" applyProtection="0"/>
    <xf numFmtId="0" fontId="41" fillId="0" borderId="0">
      <alignment vertical="center"/>
    </xf>
    <xf numFmtId="0" fontId="43" fillId="0" borderId="0"/>
    <xf numFmtId="0" fontId="44" fillId="0" borderId="0"/>
    <xf numFmtId="0" fontId="37" fillId="0" borderId="0">
      <alignment vertical="center"/>
    </xf>
    <xf numFmtId="0" fontId="21" fillId="0" borderId="0"/>
    <xf numFmtId="43" fontId="21" fillId="0" borderId="0" applyFont="0" applyFill="0" applyBorder="0" applyAlignment="0" applyProtection="0">
      <alignment vertical="center"/>
    </xf>
    <xf numFmtId="0" fontId="12" fillId="0" borderId="0" applyBorder="0"/>
    <xf numFmtId="0" fontId="44" fillId="0" borderId="0"/>
    <xf numFmtId="0" fontId="44" fillId="0" borderId="0"/>
    <xf numFmtId="0" fontId="44" fillId="0" borderId="0"/>
    <xf numFmtId="0" fontId="12" fillId="0" borderId="0" applyBorder="0"/>
    <xf numFmtId="0" fontId="44" fillId="0" borderId="0"/>
    <xf numFmtId="0" fontId="44" fillId="0" borderId="0"/>
    <xf numFmtId="0" fontId="44" fillId="0" borderId="0"/>
    <xf numFmtId="0" fontId="12" fillId="0" borderId="0" applyBorder="0"/>
    <xf numFmtId="0" fontId="12" fillId="0" borderId="0" applyBorder="0"/>
    <xf numFmtId="0" fontId="44" fillId="0" borderId="0"/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62" fillId="13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4" fillId="0" borderId="0"/>
    <xf numFmtId="0" fontId="63" fillId="0" borderId="0" applyNumberFormat="0" applyFill="0" applyBorder="0" applyAlignment="0" applyProtection="0">
      <alignment vertical="top"/>
      <protection locked="0"/>
    </xf>
    <xf numFmtId="0" fontId="44" fillId="0" borderId="0"/>
    <xf numFmtId="0" fontId="45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47" fillId="17" borderId="0" applyNumberFormat="0" applyBorder="0" applyAlignment="0" applyProtection="0">
      <alignment vertical="center"/>
    </xf>
    <xf numFmtId="0" fontId="78" fillId="18" borderId="72" applyNumberFormat="0" applyAlignment="0" applyProtection="0">
      <alignment vertical="center"/>
    </xf>
    <xf numFmtId="0" fontId="77" fillId="0" borderId="73" applyNumberFormat="0" applyFill="0" applyAlignment="0" applyProtection="0">
      <alignment vertical="center"/>
    </xf>
    <xf numFmtId="0" fontId="30" fillId="0" borderId="73" applyNumberFormat="0" applyFill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64" fillId="5" borderId="0" applyNumberFormat="0" applyBorder="0" applyAlignment="0" applyProtection="0">
      <alignment vertical="center"/>
    </xf>
    <xf numFmtId="0" fontId="64" fillId="5" borderId="0" applyNumberFormat="0" applyBorder="0" applyAlignment="0" applyProtection="0">
      <alignment vertical="center"/>
    </xf>
    <xf numFmtId="0" fontId="64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65" fillId="19" borderId="74" applyNumberFormat="0" applyFon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75" applyNumberFormat="0" applyFill="0" applyAlignment="0" applyProtection="0">
      <alignment vertical="center"/>
    </xf>
    <xf numFmtId="0" fontId="74" fillId="0" borderId="76" applyNumberFormat="0" applyFill="0" applyAlignment="0" applyProtection="0">
      <alignment vertical="center"/>
    </xf>
    <xf numFmtId="0" fontId="75" fillId="0" borderId="77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9" fillId="18" borderId="72" applyNumberFormat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5" fillId="0" borderId="0"/>
    <xf numFmtId="0" fontId="76" fillId="20" borderId="78" applyNumberFormat="0" applyAlignment="0" applyProtection="0">
      <alignment vertical="center"/>
    </xf>
    <xf numFmtId="0" fontId="50" fillId="0" borderId="79" applyNumberFormat="0" applyFill="0" applyAlignment="0" applyProtection="0">
      <alignment vertical="center"/>
    </xf>
    <xf numFmtId="0" fontId="21" fillId="19" borderId="74" applyNumberFormat="0" applyFont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79" fillId="0" borderId="79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8" borderId="72" applyNumberFormat="0" applyAlignment="0" applyProtection="0">
      <alignment vertical="center"/>
    </xf>
    <xf numFmtId="0" fontId="70" fillId="18" borderId="80" applyNumberForma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53" fillId="0" borderId="75" applyNumberFormat="0" applyFill="0" applyAlignment="0" applyProtection="0">
      <alignment vertical="center"/>
    </xf>
    <xf numFmtId="0" fontId="54" fillId="0" borderId="76" applyNumberFormat="0" applyFill="0" applyAlignment="0" applyProtection="0">
      <alignment vertical="center"/>
    </xf>
    <xf numFmtId="0" fontId="55" fillId="0" borderId="77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44" fillId="0" borderId="0"/>
    <xf numFmtId="0" fontId="56" fillId="8" borderId="72" applyNumberFormat="0" applyAlignment="0" applyProtection="0">
      <alignment vertical="center"/>
    </xf>
    <xf numFmtId="0" fontId="57" fillId="18" borderId="80" applyNumberFormat="0" applyAlignment="0" applyProtection="0">
      <alignment vertical="center"/>
    </xf>
    <xf numFmtId="0" fontId="58" fillId="20" borderId="78" applyNumberFormat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178" fontId="80" fillId="0" borderId="0"/>
  </cellStyleXfs>
  <cellXfs count="274">
    <xf numFmtId="0" fontId="0" fillId="0" borderId="0" xfId="0">
      <alignment vertical="center"/>
    </xf>
    <xf numFmtId="0" fontId="6" fillId="0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14" fontId="15" fillId="0" borderId="0" xfId="0" applyNumberFormat="1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8" fillId="0" borderId="6" xfId="0" applyFont="1" applyBorder="1" applyAlignment="1" applyProtection="1">
      <alignment horizontal="center" vertical="center"/>
      <protection locked="0"/>
    </xf>
    <xf numFmtId="0" fontId="18" fillId="2" borderId="9" xfId="0" applyFont="1" applyFill="1" applyBorder="1" applyAlignment="1" applyProtection="1">
      <alignment horizontal="center" vertical="center"/>
      <protection locked="0"/>
    </xf>
    <xf numFmtId="0" fontId="18" fillId="0" borderId="11" xfId="0" applyFont="1" applyBorder="1" applyAlignment="1" applyProtection="1">
      <alignment horizontal="center" vertical="center"/>
      <protection locked="0"/>
    </xf>
    <xf numFmtId="41" fontId="19" fillId="0" borderId="12" xfId="1" applyFont="1" applyBorder="1" applyAlignment="1" applyProtection="1">
      <alignment horizontal="center" vertical="center"/>
      <protection locked="0"/>
    </xf>
    <xf numFmtId="0" fontId="18" fillId="0" borderId="13" xfId="0" applyFont="1" applyBorder="1" applyAlignment="1" applyProtection="1">
      <alignment horizontal="center" vertical="center"/>
      <protection locked="0"/>
    </xf>
    <xf numFmtId="0" fontId="19" fillId="0" borderId="12" xfId="0" applyFont="1" applyBorder="1" applyAlignment="1" applyProtection="1">
      <alignment horizontal="center" vertical="center"/>
      <protection locked="0"/>
    </xf>
    <xf numFmtId="0" fontId="20" fillId="0" borderId="16" xfId="0" applyFont="1" applyBorder="1" applyAlignment="1">
      <alignment horizontal="center" vertical="center"/>
    </xf>
    <xf numFmtId="3" fontId="24" fillId="0" borderId="16" xfId="3" applyNumberFormat="1" applyFont="1" applyFill="1" applyBorder="1" applyAlignment="1" applyProtection="1">
      <alignment horizontal="center" vertical="center"/>
    </xf>
    <xf numFmtId="0" fontId="19" fillId="0" borderId="17" xfId="0" applyFont="1" applyFill="1" applyBorder="1" applyAlignment="1" applyProtection="1">
      <alignment horizontal="center" vertical="center"/>
      <protection locked="0"/>
    </xf>
    <xf numFmtId="0" fontId="18" fillId="0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6" fillId="0" borderId="21" xfId="0" applyFont="1" applyFill="1" applyBorder="1" applyAlignment="1" applyProtection="1">
      <alignment horizontal="center" vertical="center"/>
      <protection locked="0"/>
    </xf>
    <xf numFmtId="0" fontId="18" fillId="0" borderId="21" xfId="0" applyFont="1" applyFill="1" applyBorder="1" applyAlignment="1" applyProtection="1">
      <alignment horizontal="center" vertical="center"/>
      <protection locked="0"/>
    </xf>
    <xf numFmtId="3" fontId="29" fillId="0" borderId="27" xfId="0" applyNumberFormat="1" applyFont="1" applyBorder="1" applyAlignment="1" applyProtection="1">
      <alignment horizontal="center" vertical="center"/>
      <protection locked="0"/>
    </xf>
    <xf numFmtId="0" fontId="18" fillId="0" borderId="28" xfId="0" applyFont="1" applyBorder="1" applyAlignment="1" applyProtection="1">
      <alignment vertical="center"/>
      <protection locked="0"/>
    </xf>
    <xf numFmtId="0" fontId="18" fillId="0" borderId="29" xfId="0" applyFont="1" applyBorder="1" applyAlignment="1" applyProtection="1">
      <alignment vertical="center"/>
      <protection locked="0"/>
    </xf>
    <xf numFmtId="0" fontId="6" fillId="0" borderId="29" xfId="0" applyFont="1" applyBorder="1" applyAlignment="1" applyProtection="1">
      <alignment vertical="center"/>
      <protection locked="0"/>
    </xf>
    <xf numFmtId="0" fontId="13" fillId="0" borderId="29" xfId="0" applyFont="1" applyBorder="1" applyAlignment="1" applyProtection="1">
      <alignment vertical="center"/>
      <protection locked="0"/>
    </xf>
    <xf numFmtId="0" fontId="6" fillId="0" borderId="30" xfId="0" applyFont="1" applyBorder="1" applyAlignment="1" applyProtection="1">
      <alignment vertical="center"/>
      <protection locked="0"/>
    </xf>
    <xf numFmtId="0" fontId="18" fillId="0" borderId="31" xfId="0" applyFont="1" applyBorder="1" applyAlignment="1" applyProtection="1">
      <alignment vertical="center"/>
      <protection locked="0"/>
    </xf>
    <xf numFmtId="0" fontId="18" fillId="0" borderId="32" xfId="0" applyFont="1" applyBorder="1" applyAlignment="1" applyProtection="1">
      <alignment vertical="center"/>
      <protection locked="0"/>
    </xf>
    <xf numFmtId="0" fontId="6" fillId="0" borderId="32" xfId="0" applyFont="1" applyBorder="1" applyAlignment="1" applyProtection="1">
      <alignment vertical="center"/>
      <protection locked="0"/>
    </xf>
    <xf numFmtId="177" fontId="13" fillId="0" borderId="32" xfId="0" applyNumberFormat="1" applyFont="1" applyBorder="1" applyAlignment="1" applyProtection="1">
      <alignment vertical="center"/>
      <protection locked="0"/>
    </xf>
    <xf numFmtId="0" fontId="6" fillId="0" borderId="33" xfId="0" applyFont="1" applyBorder="1" applyAlignment="1" applyProtection="1">
      <alignment vertical="center"/>
      <protection locked="0"/>
    </xf>
    <xf numFmtId="0" fontId="6" fillId="0" borderId="0" xfId="0" applyFont="1" applyAlignment="1">
      <alignment horizontal="left" vertical="center"/>
    </xf>
    <xf numFmtId="3" fontId="27" fillId="0" borderId="15" xfId="3" applyNumberFormat="1" applyFont="1" applyFill="1" applyBorder="1" applyAlignment="1" applyProtection="1">
      <alignment horizontal="center" vertical="center"/>
    </xf>
    <xf numFmtId="0" fontId="19" fillId="0" borderId="41" xfId="0" applyFont="1" applyFill="1" applyBorder="1" applyAlignment="1" applyProtection="1">
      <alignment horizontal="center" vertical="center"/>
      <protection locked="0"/>
    </xf>
    <xf numFmtId="0" fontId="18" fillId="0" borderId="43" xfId="0" applyFont="1" applyBorder="1" applyAlignment="1">
      <alignment horizontal="center" vertical="center" wrapText="1"/>
    </xf>
    <xf numFmtId="0" fontId="18" fillId="0" borderId="15" xfId="0" applyFont="1" applyFill="1" applyBorder="1" applyAlignment="1" applyProtection="1">
      <alignment horizontal="center" vertical="center"/>
      <protection locked="0"/>
    </xf>
    <xf numFmtId="0" fontId="20" fillId="0" borderId="44" xfId="0" applyNumberFormat="1" applyFont="1" applyFill="1" applyBorder="1" applyAlignment="1" applyProtection="1">
      <alignment horizontal="center" vertical="center"/>
      <protection locked="0"/>
    </xf>
    <xf numFmtId="0" fontId="20" fillId="0" borderId="45" xfId="0" applyFont="1" applyBorder="1" applyAlignment="1">
      <alignment horizontal="center" vertical="center"/>
    </xf>
    <xf numFmtId="0" fontId="34" fillId="0" borderId="22" xfId="0" applyFont="1" applyFill="1" applyBorder="1" applyAlignment="1" applyProtection="1">
      <alignment horizontal="center" vertical="center"/>
      <protection locked="0"/>
    </xf>
    <xf numFmtId="0" fontId="25" fillId="0" borderId="19" xfId="0" applyFont="1" applyFill="1" applyBorder="1" applyAlignment="1">
      <alignment horizontal="center" vertical="center" wrapText="1"/>
    </xf>
    <xf numFmtId="0" fontId="25" fillId="0" borderId="45" xfId="0" applyFont="1" applyFill="1" applyBorder="1" applyAlignment="1">
      <alignment horizontal="center" vertical="center" wrapText="1"/>
    </xf>
    <xf numFmtId="0" fontId="22" fillId="0" borderId="19" xfId="0" applyFont="1" applyFill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6" fillId="0" borderId="51" xfId="0" applyFont="1" applyFill="1" applyBorder="1" applyAlignment="1" applyProtection="1">
      <alignment horizontal="center" vertical="center"/>
      <protection locked="0"/>
    </xf>
    <xf numFmtId="0" fontId="6" fillId="0" borderId="45" xfId="0" applyFont="1" applyFill="1" applyBorder="1" applyAlignment="1" applyProtection="1">
      <alignment horizontal="center" vertical="center"/>
      <protection locked="0"/>
    </xf>
    <xf numFmtId="0" fontId="6" fillId="0" borderId="52" xfId="0" applyFont="1" applyFill="1" applyBorder="1" applyAlignment="1" applyProtection="1">
      <alignment horizontal="center" vertical="center"/>
      <protection locked="0"/>
    </xf>
    <xf numFmtId="0" fontId="18" fillId="0" borderId="52" xfId="0" applyFont="1" applyFill="1" applyBorder="1" applyAlignment="1" applyProtection="1">
      <alignment horizontal="center" vertical="center"/>
      <protection locked="0"/>
    </xf>
    <xf numFmtId="0" fontId="18" fillId="0" borderId="16" xfId="0" applyFont="1" applyFill="1" applyBorder="1" applyAlignment="1" applyProtection="1">
      <alignment horizontal="center" vertical="center"/>
      <protection locked="0"/>
    </xf>
    <xf numFmtId="3" fontId="24" fillId="0" borderId="15" xfId="3" applyNumberFormat="1" applyFont="1" applyFill="1" applyBorder="1" applyAlignment="1" applyProtection="1">
      <alignment horizontal="center" vertical="center"/>
    </xf>
    <xf numFmtId="0" fontId="30" fillId="0" borderId="16" xfId="2" applyFont="1" applyFill="1" applyBorder="1" applyAlignment="1">
      <alignment horizontal="center" vertical="center" wrapText="1"/>
    </xf>
    <xf numFmtId="0" fontId="18" fillId="0" borderId="19" xfId="0" applyFont="1" applyFill="1" applyBorder="1" applyAlignment="1">
      <alignment horizontal="center" vertical="center" wrapText="1"/>
    </xf>
    <xf numFmtId="0" fontId="34" fillId="0" borderId="19" xfId="0" applyFont="1" applyFill="1" applyBorder="1" applyAlignment="1" applyProtection="1">
      <alignment horizontal="center" vertical="center"/>
      <protection locked="0"/>
    </xf>
    <xf numFmtId="0" fontId="18" fillId="0" borderId="50" xfId="0" applyFont="1" applyFill="1" applyBorder="1" applyAlignment="1">
      <alignment horizontal="center" vertical="center" wrapText="1"/>
    </xf>
    <xf numFmtId="0" fontId="18" fillId="0" borderId="53" xfId="0" applyFont="1" applyFill="1" applyBorder="1" applyAlignment="1">
      <alignment horizontal="center" vertical="center" wrapText="1"/>
    </xf>
    <xf numFmtId="0" fontId="22" fillId="0" borderId="19" xfId="7" applyFont="1" applyFill="1" applyBorder="1" applyAlignment="1">
      <alignment horizontal="center" vertical="center" wrapText="1"/>
    </xf>
    <xf numFmtId="3" fontId="27" fillId="0" borderId="16" xfId="3" applyNumberFormat="1" applyFont="1" applyFill="1" applyBorder="1" applyAlignment="1" applyProtection="1">
      <alignment horizontal="center" vertical="center"/>
    </xf>
    <xf numFmtId="0" fontId="18" fillId="0" borderId="54" xfId="0" applyFont="1" applyBorder="1" applyAlignment="1">
      <alignment horizontal="center" vertical="center" wrapText="1"/>
    </xf>
    <xf numFmtId="0" fontId="36" fillId="0" borderId="41" xfId="0" applyFont="1" applyFill="1" applyBorder="1" applyAlignment="1">
      <alignment horizontal="center" vertical="center" wrapText="1"/>
    </xf>
    <xf numFmtId="0" fontId="13" fillId="0" borderId="58" xfId="0" applyFont="1" applyBorder="1" applyAlignment="1" applyProtection="1">
      <alignment horizontal="center" vertical="center"/>
      <protection locked="0"/>
    </xf>
    <xf numFmtId="0" fontId="19" fillId="0" borderId="59" xfId="0" applyFont="1" applyBorder="1" applyAlignment="1" applyProtection="1">
      <alignment vertical="center"/>
      <protection locked="0"/>
    </xf>
    <xf numFmtId="0" fontId="19" fillId="0" borderId="59" xfId="0" applyFont="1" applyBorder="1" applyAlignment="1" applyProtection="1">
      <alignment horizontal="center" vertical="center"/>
      <protection locked="0"/>
    </xf>
    <xf numFmtId="0" fontId="27" fillId="0" borderId="62" xfId="0" applyFont="1" applyFill="1" applyBorder="1" applyAlignment="1">
      <alignment horizontal="center" vertical="center" wrapText="1" readingOrder="1"/>
    </xf>
    <xf numFmtId="3" fontId="27" fillId="0" borderId="57" xfId="3" applyNumberFormat="1" applyFont="1" applyFill="1" applyBorder="1" applyAlignment="1" applyProtection="1">
      <alignment horizontal="center" vertical="center"/>
    </xf>
    <xf numFmtId="0" fontId="18" fillId="0" borderId="57" xfId="0" applyFont="1" applyFill="1" applyBorder="1" applyAlignment="1" applyProtection="1">
      <alignment horizontal="center" vertical="center"/>
      <protection locked="0"/>
    </xf>
    <xf numFmtId="0" fontId="22" fillId="0" borderId="65" xfId="0" applyFont="1" applyFill="1" applyBorder="1" applyAlignment="1">
      <alignment horizontal="center" vertical="center" wrapText="1"/>
    </xf>
    <xf numFmtId="0" fontId="20" fillId="0" borderId="65" xfId="0" applyFont="1" applyFill="1" applyBorder="1" applyAlignment="1" applyProtection="1">
      <alignment horizontal="center" vertical="center"/>
      <protection locked="0"/>
    </xf>
    <xf numFmtId="0" fontId="18" fillId="0" borderId="65" xfId="0" applyFont="1" applyFill="1" applyBorder="1" applyAlignment="1" applyProtection="1">
      <alignment horizontal="center" vertical="center"/>
      <protection locked="0"/>
    </xf>
    <xf numFmtId="49" fontId="26" fillId="0" borderId="56" xfId="19" applyNumberFormat="1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  <protection locked="0"/>
    </xf>
    <xf numFmtId="0" fontId="6" fillId="0" borderId="65" xfId="0" applyFont="1" applyBorder="1" applyAlignment="1">
      <alignment horizontal="center" vertical="center" wrapText="1"/>
    </xf>
    <xf numFmtId="0" fontId="25" fillId="0" borderId="64" xfId="0" applyFont="1" applyFill="1" applyBorder="1" applyAlignment="1">
      <alignment horizontal="center" vertical="center" wrapText="1"/>
    </xf>
    <xf numFmtId="3" fontId="27" fillId="0" borderId="65" xfId="3" applyNumberFormat="1" applyFont="1" applyFill="1" applyBorder="1" applyAlignment="1" applyProtection="1">
      <alignment horizontal="center" vertical="center"/>
    </xf>
    <xf numFmtId="3" fontId="24" fillId="0" borderId="65" xfId="3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0" fontId="18" fillId="0" borderId="26" xfId="0" applyFont="1" applyFill="1" applyBorder="1" applyAlignment="1">
      <alignment horizontal="center" vertical="center" wrapText="1"/>
    </xf>
    <xf numFmtId="0" fontId="20" fillId="0" borderId="15" xfId="0" applyFont="1" applyFill="1" applyBorder="1" applyAlignment="1" applyProtection="1">
      <alignment horizontal="center" vertical="center"/>
      <protection locked="0"/>
    </xf>
    <xf numFmtId="0" fontId="20" fillId="0" borderId="45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0" fontId="20" fillId="0" borderId="64" xfId="0" applyFont="1" applyFill="1" applyBorder="1" applyAlignment="1">
      <alignment horizontal="center" vertical="center"/>
    </xf>
    <xf numFmtId="0" fontId="20" fillId="0" borderId="65" xfId="0" applyFont="1" applyFill="1" applyBorder="1" applyAlignment="1">
      <alignment horizontal="center" vertical="center"/>
    </xf>
    <xf numFmtId="0" fontId="36" fillId="0" borderId="65" xfId="0" applyFont="1" applyFill="1" applyBorder="1" applyAlignment="1">
      <alignment horizontal="center" vertical="center" wrapText="1"/>
    </xf>
    <xf numFmtId="0" fontId="38" fillId="0" borderId="19" xfId="0" applyFont="1" applyFill="1" applyBorder="1" applyAlignment="1">
      <alignment horizontal="center" vertical="center" wrapText="1"/>
    </xf>
    <xf numFmtId="0" fontId="25" fillId="0" borderId="69" xfId="0" applyFont="1" applyFill="1" applyBorder="1" applyAlignment="1">
      <alignment horizontal="center" vertical="center" wrapText="1"/>
    </xf>
    <xf numFmtId="0" fontId="25" fillId="0" borderId="65" xfId="0" applyFont="1" applyFill="1" applyBorder="1" applyAlignment="1">
      <alignment horizontal="center" vertical="center" wrapText="1"/>
    </xf>
    <xf numFmtId="0" fontId="25" fillId="0" borderId="71" xfId="0" applyFont="1" applyFill="1" applyBorder="1" applyAlignment="1">
      <alignment horizontal="center"/>
    </xf>
    <xf numFmtId="0" fontId="25" fillId="0" borderId="54" xfId="0" applyFont="1" applyFill="1" applyBorder="1" applyAlignment="1">
      <alignment horizontal="center" vertical="center" wrapText="1"/>
    </xf>
    <xf numFmtId="0" fontId="36" fillId="0" borderId="63" xfId="0" applyFont="1" applyFill="1" applyBorder="1" applyAlignment="1">
      <alignment horizontal="center" vertical="center" wrapText="1"/>
    </xf>
    <xf numFmtId="0" fontId="18" fillId="0" borderId="64" xfId="0" applyNumberFormat="1" applyFont="1" applyFill="1" applyBorder="1" applyAlignment="1">
      <alignment horizontal="center" vertical="center"/>
    </xf>
    <xf numFmtId="0" fontId="20" fillId="0" borderId="54" xfId="0" applyFont="1" applyFill="1" applyBorder="1" applyAlignment="1">
      <alignment horizontal="center" vertical="center" wrapText="1"/>
    </xf>
    <xf numFmtId="0" fontId="20" fillId="0" borderId="17" xfId="0" applyFont="1" applyFill="1" applyBorder="1" applyAlignment="1" applyProtection="1">
      <alignment horizontal="center" vertical="center"/>
      <protection locked="0"/>
    </xf>
    <xf numFmtId="0" fontId="20" fillId="0" borderId="21" xfId="0" applyFont="1" applyFill="1" applyBorder="1" applyAlignment="1" applyProtection="1">
      <alignment horizontal="center" vertical="center"/>
      <protection locked="0"/>
    </xf>
    <xf numFmtId="0" fontId="81" fillId="0" borderId="0" xfId="0" applyFont="1" applyFill="1" applyAlignment="1">
      <alignment vertical="center"/>
    </xf>
    <xf numFmtId="0" fontId="20" fillId="0" borderId="50" xfId="0" applyFont="1" applyFill="1" applyBorder="1" applyAlignment="1">
      <alignment horizontal="center" vertical="center" wrapText="1"/>
    </xf>
    <xf numFmtId="3" fontId="22" fillId="0" borderId="16" xfId="3" applyNumberFormat="1" applyFont="1" applyFill="1" applyBorder="1" applyAlignment="1" applyProtection="1">
      <alignment horizontal="center" vertical="center"/>
    </xf>
    <xf numFmtId="0" fontId="22" fillId="0" borderId="45" xfId="0" applyFont="1" applyFill="1" applyBorder="1" applyAlignment="1">
      <alignment horizontal="center" vertical="center" wrapText="1"/>
    </xf>
    <xf numFmtId="0" fontId="81" fillId="0" borderId="21" xfId="0" applyFont="1" applyFill="1" applyBorder="1" applyAlignment="1" applyProtection="1">
      <alignment horizontal="center" vertical="center"/>
      <protection locked="0"/>
    </xf>
    <xf numFmtId="3" fontId="22" fillId="0" borderId="65" xfId="3" applyNumberFormat="1" applyFont="1" applyFill="1" applyBorder="1" applyAlignment="1" applyProtection="1">
      <alignment horizontal="center" vertical="center"/>
    </xf>
    <xf numFmtId="0" fontId="20" fillId="0" borderId="43" xfId="0" applyFont="1" applyFill="1" applyBorder="1" applyAlignment="1">
      <alignment horizontal="center" vertical="center" wrapText="1"/>
    </xf>
    <xf numFmtId="0" fontId="22" fillId="0" borderId="70" xfId="0" applyFont="1" applyFill="1" applyBorder="1" applyAlignment="1">
      <alignment horizontal="center" vertical="center" wrapText="1"/>
    </xf>
    <xf numFmtId="0" fontId="22" fillId="0" borderId="64" xfId="0" applyFont="1" applyFill="1" applyBorder="1" applyAlignment="1">
      <alignment horizontal="center" vertical="center" wrapText="1"/>
    </xf>
    <xf numFmtId="0" fontId="20" fillId="0" borderId="49" xfId="0" applyFont="1" applyFill="1" applyBorder="1" applyAlignment="1">
      <alignment vertical="center" wrapText="1"/>
    </xf>
    <xf numFmtId="0" fontId="18" fillId="0" borderId="20" xfId="0" applyFont="1" applyFill="1" applyBorder="1" applyAlignment="1">
      <alignment horizontal="center" wrapText="1"/>
    </xf>
    <xf numFmtId="0" fontId="18" fillId="0" borderId="47" xfId="0" applyFont="1" applyFill="1" applyBorder="1" applyAlignment="1">
      <alignment horizontal="center"/>
    </xf>
    <xf numFmtId="0" fontId="18" fillId="0" borderId="84" xfId="0" applyFont="1" applyFill="1" applyBorder="1" applyAlignment="1">
      <alignment horizontal="center"/>
    </xf>
    <xf numFmtId="0" fontId="27" fillId="0" borderId="23" xfId="0" applyFont="1" applyFill="1" applyBorder="1" applyAlignment="1">
      <alignment vertical="center" wrapText="1"/>
    </xf>
    <xf numFmtId="0" fontId="25" fillId="0" borderId="68" xfId="0" applyFont="1" applyFill="1" applyBorder="1" applyAlignment="1">
      <alignment horizontal="center" vertical="center" wrapText="1"/>
    </xf>
    <xf numFmtId="49" fontId="26" fillId="0" borderId="55" xfId="19" applyNumberFormat="1" applyFont="1" applyFill="1" applyBorder="1" applyAlignment="1">
      <alignment horizontal="center" vertical="center"/>
    </xf>
    <xf numFmtId="0" fontId="17" fillId="2" borderId="19" xfId="2" applyFont="1" applyFill="1" applyBorder="1" applyAlignment="1" applyProtection="1">
      <alignment horizontal="left" vertical="center" wrapText="1"/>
      <protection locked="0"/>
    </xf>
    <xf numFmtId="0" fontId="17" fillId="2" borderId="20" xfId="2" applyFont="1" applyFill="1" applyBorder="1" applyAlignment="1" applyProtection="1">
      <alignment horizontal="left" vertical="center" wrapText="1"/>
      <protection locked="0"/>
    </xf>
    <xf numFmtId="0" fontId="20" fillId="0" borderId="42" xfId="0" applyFont="1" applyFill="1" applyBorder="1" applyAlignment="1" applyProtection="1">
      <alignment horizontal="center" vertical="center"/>
      <protection locked="0"/>
    </xf>
    <xf numFmtId="0" fontId="19" fillId="0" borderId="42" xfId="0" applyFont="1" applyFill="1" applyBorder="1" applyAlignment="1" applyProtection="1">
      <alignment horizontal="center" vertical="center"/>
      <protection locked="0"/>
    </xf>
    <xf numFmtId="0" fontId="18" fillId="0" borderId="49" xfId="0" applyFont="1" applyFill="1" applyBorder="1" applyAlignment="1">
      <alignment vertical="center" wrapText="1"/>
    </xf>
    <xf numFmtId="0" fontId="18" fillId="0" borderId="49" xfId="0" applyFont="1" applyBorder="1" applyAlignment="1">
      <alignment horizontal="center" vertical="center" wrapText="1"/>
    </xf>
    <xf numFmtId="0" fontId="22" fillId="0" borderId="90" xfId="0" applyFont="1" applyFill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27" fillId="0" borderId="61" xfId="0" applyFont="1" applyFill="1" applyBorder="1" applyAlignment="1">
      <alignment horizontal="center" vertical="center" wrapText="1" readingOrder="1"/>
    </xf>
    <xf numFmtId="0" fontId="25" fillId="0" borderId="20" xfId="4" applyFont="1" applyFill="1" applyBorder="1" applyAlignment="1">
      <alignment vertical="center" wrapText="1"/>
    </xf>
    <xf numFmtId="0" fontId="18" fillId="2" borderId="7" xfId="0" applyFont="1" applyFill="1" applyBorder="1" applyAlignment="1" applyProtection="1">
      <alignment horizontal="center" vertical="center"/>
      <protection locked="0"/>
    </xf>
    <xf numFmtId="0" fontId="18" fillId="2" borderId="8" xfId="0" applyFont="1" applyFill="1" applyBorder="1" applyAlignment="1" applyProtection="1">
      <alignment horizontal="center" vertical="center"/>
      <protection locked="0"/>
    </xf>
    <xf numFmtId="0" fontId="18" fillId="0" borderId="82" xfId="0" applyFont="1" applyFill="1" applyBorder="1" applyAlignment="1">
      <alignment horizontal="center"/>
    </xf>
    <xf numFmtId="0" fontId="25" fillId="0" borderId="23" xfId="0" applyFont="1" applyFill="1" applyBorder="1" applyAlignment="1">
      <alignment horizontal="justify" vertical="center" wrapText="1"/>
    </xf>
    <xf numFmtId="0" fontId="18" fillId="0" borderId="49" xfId="0" applyFont="1" applyBorder="1" applyAlignment="1">
      <alignment horizontal="center" wrapText="1"/>
    </xf>
    <xf numFmtId="0" fontId="18" fillId="2" borderId="10" xfId="0" applyFont="1" applyFill="1" applyBorder="1" applyAlignment="1" applyProtection="1">
      <alignment horizontal="center" vertical="center"/>
      <protection locked="0"/>
    </xf>
    <xf numFmtId="179" fontId="27" fillId="0" borderId="16" xfId="3" applyNumberFormat="1" applyFont="1" applyFill="1" applyBorder="1" applyAlignment="1" applyProtection="1">
      <alignment horizontal="center" vertical="center"/>
    </xf>
    <xf numFmtId="179" fontId="27" fillId="0" borderId="65" xfId="3" applyNumberFormat="1" applyFont="1" applyFill="1" applyBorder="1" applyAlignment="1" applyProtection="1">
      <alignment horizontal="center" vertical="center"/>
    </xf>
    <xf numFmtId="179" fontId="27" fillId="0" borderId="57" xfId="3" applyNumberFormat="1" applyFont="1" applyFill="1" applyBorder="1" applyAlignment="1" applyProtection="1">
      <alignment horizontal="center" vertical="center"/>
    </xf>
    <xf numFmtId="179" fontId="25" fillId="0" borderId="65" xfId="0" applyNumberFormat="1" applyFont="1" applyFill="1" applyBorder="1" applyAlignment="1">
      <alignment horizontal="center" vertical="center"/>
    </xf>
    <xf numFmtId="179" fontId="22" fillId="0" borderId="16" xfId="3" applyNumberFormat="1" applyFont="1" applyFill="1" applyBorder="1" applyAlignment="1" applyProtection="1">
      <alignment horizontal="center" vertical="center"/>
    </xf>
    <xf numFmtId="179" fontId="22" fillId="0" borderId="65" xfId="3" applyNumberFormat="1" applyFont="1" applyFill="1" applyBorder="1" applyAlignment="1" applyProtection="1">
      <alignment horizontal="center" vertical="center"/>
    </xf>
    <xf numFmtId="179" fontId="25" fillId="0" borderId="15" xfId="0" applyNumberFormat="1" applyFont="1" applyFill="1" applyBorder="1" applyAlignment="1" applyProtection="1">
      <alignment horizontal="center" vertical="center"/>
      <protection locked="0"/>
    </xf>
    <xf numFmtId="179" fontId="27" fillId="0" borderId="15" xfId="3" applyNumberFormat="1" applyFont="1" applyFill="1" applyBorder="1" applyAlignment="1" applyProtection="1">
      <alignment horizontal="center" vertical="center"/>
    </xf>
    <xf numFmtId="179" fontId="15" fillId="0" borderId="0" xfId="0" applyNumberFormat="1" applyFont="1" applyAlignment="1">
      <alignment horizontal="center" vertical="center"/>
    </xf>
    <xf numFmtId="179" fontId="25" fillId="0" borderId="2" xfId="0" applyNumberFormat="1" applyFont="1" applyBorder="1" applyAlignment="1" applyProtection="1">
      <alignment horizontal="center" vertical="center"/>
      <protection locked="0"/>
    </xf>
    <xf numFmtId="179" fontId="25" fillId="0" borderId="11" xfId="0" applyNumberFormat="1" applyFont="1" applyBorder="1" applyAlignment="1" applyProtection="1">
      <alignment horizontal="center" vertical="center"/>
      <protection locked="0"/>
    </xf>
    <xf numFmtId="179" fontId="22" fillId="0" borderId="15" xfId="0" applyNumberFormat="1" applyFont="1" applyFill="1" applyBorder="1" applyAlignment="1" applyProtection="1">
      <alignment horizontal="center" vertical="center"/>
      <protection locked="0"/>
    </xf>
    <xf numFmtId="179" fontId="22" fillId="0" borderId="65" xfId="0" applyNumberFormat="1" applyFont="1" applyFill="1" applyBorder="1" applyAlignment="1" applyProtection="1">
      <alignment horizontal="center" vertical="center"/>
      <protection locked="0"/>
    </xf>
    <xf numFmtId="179" fontId="25" fillId="0" borderId="16" xfId="0" applyNumberFormat="1" applyFont="1" applyFill="1" applyBorder="1" applyAlignment="1" applyProtection="1">
      <alignment horizontal="center" vertical="center"/>
      <protection locked="0"/>
    </xf>
    <xf numFmtId="179" fontId="25" fillId="0" borderId="0" xfId="0" applyNumberFormat="1" applyFont="1" applyAlignment="1">
      <alignment vertical="center"/>
    </xf>
    <xf numFmtId="0" fontId="18" fillId="0" borderId="94" xfId="0" applyFont="1" applyBorder="1" applyAlignment="1" applyProtection="1">
      <alignment horizontal="center" vertical="center"/>
      <protection locked="0"/>
    </xf>
    <xf numFmtId="0" fontId="19" fillId="0" borderId="95" xfId="0" applyFont="1" applyBorder="1" applyAlignment="1" applyProtection="1">
      <alignment horizontal="center" vertical="center"/>
      <protection locked="0"/>
    </xf>
    <xf numFmtId="0" fontId="19" fillId="0" borderId="96" xfId="0" applyFont="1" applyFill="1" applyBorder="1" applyAlignment="1" applyProtection="1">
      <alignment horizontal="center" vertical="center"/>
      <protection locked="0"/>
    </xf>
    <xf numFmtId="0" fontId="20" fillId="0" borderId="96" xfId="0" applyFont="1" applyFill="1" applyBorder="1" applyAlignment="1" applyProtection="1">
      <alignment horizontal="center" vertical="center"/>
      <protection locked="0"/>
    </xf>
    <xf numFmtId="0" fontId="35" fillId="0" borderId="96" xfId="0" applyFont="1" applyFill="1" applyBorder="1" applyAlignment="1" applyProtection="1">
      <alignment horizontal="center" vertical="center" wrapText="1"/>
      <protection locked="0"/>
    </xf>
    <xf numFmtId="0" fontId="6" fillId="0" borderId="93" xfId="0" applyFont="1" applyFill="1" applyBorder="1" applyAlignment="1">
      <alignment horizontal="center" vertical="center" wrapText="1"/>
    </xf>
    <xf numFmtId="0" fontId="28" fillId="0" borderId="93" xfId="0" applyFont="1" applyFill="1" applyBorder="1" applyAlignment="1">
      <alignment horizontal="center" vertical="center" wrapText="1"/>
    </xf>
    <xf numFmtId="0" fontId="6" fillId="0" borderId="93" xfId="0" applyFont="1" applyFill="1" applyBorder="1" applyAlignment="1">
      <alignment horizontal="center" vertical="center"/>
    </xf>
    <xf numFmtId="0" fontId="18" fillId="0" borderId="20" xfId="0" applyFont="1" applyFill="1" applyBorder="1" applyAlignment="1">
      <alignment vertical="center" wrapText="1"/>
    </xf>
    <xf numFmtId="0" fontId="18" fillId="0" borderId="49" xfId="0" applyFont="1" applyFill="1" applyBorder="1" applyAlignment="1">
      <alignment horizontal="center"/>
    </xf>
    <xf numFmtId="0" fontId="18" fillId="0" borderId="84" xfId="0" applyFont="1" applyFill="1" applyBorder="1" applyAlignment="1">
      <alignment horizontal="center" vertical="center" wrapText="1"/>
    </xf>
    <xf numFmtId="0" fontId="18" fillId="0" borderId="20" xfId="0" applyFont="1" applyBorder="1" applyAlignment="1">
      <alignment horizontal="center"/>
    </xf>
    <xf numFmtId="0" fontId="18" fillId="0" borderId="82" xfId="0" applyFont="1" applyFill="1" applyBorder="1" applyAlignment="1">
      <alignment horizontal="center" vertical="center" wrapText="1"/>
    </xf>
    <xf numFmtId="0" fontId="18" fillId="0" borderId="49" xfId="0" applyFont="1" applyFill="1" applyBorder="1" applyAlignment="1">
      <alignment horizontal="center" wrapText="1"/>
    </xf>
    <xf numFmtId="0" fontId="18" fillId="0" borderId="20" xfId="0" applyFont="1" applyFill="1" applyBorder="1" applyAlignment="1">
      <alignment horizontal="center"/>
    </xf>
    <xf numFmtId="0" fontId="18" fillId="0" borderId="47" xfId="0" applyFont="1" applyFill="1" applyBorder="1" applyAlignment="1">
      <alignment horizontal="center" wrapText="1"/>
    </xf>
    <xf numFmtId="0" fontId="20" fillId="0" borderId="89" xfId="0" applyFont="1" applyFill="1" applyBorder="1" applyAlignment="1">
      <alignment vertical="center" wrapText="1"/>
    </xf>
    <xf numFmtId="0" fontId="18" fillId="0" borderId="49" xfId="0" applyFont="1" applyBorder="1" applyAlignment="1">
      <alignment horizontal="center"/>
    </xf>
    <xf numFmtId="0" fontId="18" fillId="0" borderId="87" xfId="0" applyFont="1" applyFill="1" applyBorder="1" applyAlignment="1">
      <alignment vertical="center" wrapText="1"/>
    </xf>
    <xf numFmtId="0" fontId="18" fillId="0" borderId="92" xfId="0" applyFont="1" applyFill="1" applyBorder="1" applyAlignment="1">
      <alignment vertical="center" wrapText="1"/>
    </xf>
    <xf numFmtId="0" fontId="22" fillId="0" borderId="50" xfId="0" applyFont="1" applyFill="1" applyBorder="1" applyAlignment="1">
      <alignment horizontal="center" vertical="center" wrapText="1"/>
    </xf>
    <xf numFmtId="0" fontId="34" fillId="0" borderId="50" xfId="0" applyFont="1" applyFill="1" applyBorder="1" applyAlignment="1" applyProtection="1">
      <alignment horizontal="center" vertical="center"/>
      <protection locked="0"/>
    </xf>
    <xf numFmtId="0" fontId="18" fillId="0" borderId="22" xfId="0" applyFont="1" applyFill="1" applyBorder="1" applyAlignment="1">
      <alignment horizontal="center"/>
    </xf>
    <xf numFmtId="0" fontId="18" fillId="0" borderId="22" xfId="0" applyFont="1" applyFill="1" applyBorder="1" applyAlignment="1">
      <alignment horizontal="center" vertical="center" wrapText="1"/>
    </xf>
    <xf numFmtId="0" fontId="22" fillId="0" borderId="50" xfId="7" applyFont="1" applyFill="1" applyBorder="1" applyAlignment="1">
      <alignment horizontal="center" vertical="center" wrapText="1"/>
    </xf>
    <xf numFmtId="0" fontId="22" fillId="0" borderId="22" xfId="7" applyFont="1" applyFill="1" applyBorder="1" applyAlignment="1">
      <alignment horizontal="center" vertical="center" wrapText="1"/>
    </xf>
    <xf numFmtId="0" fontId="20" fillId="0" borderId="22" xfId="0" applyFont="1" applyFill="1" applyBorder="1" applyAlignment="1">
      <alignment horizontal="center"/>
    </xf>
    <xf numFmtId="0" fontId="34" fillId="0" borderId="16" xfId="0" applyFont="1" applyFill="1" applyBorder="1" applyAlignment="1" applyProtection="1">
      <alignment horizontal="center" vertical="center"/>
      <protection locked="0"/>
    </xf>
    <xf numFmtId="0" fontId="22" fillId="0" borderId="22" xfId="0" applyFont="1" applyFill="1" applyBorder="1" applyAlignment="1">
      <alignment horizontal="center" vertical="center" wrapText="1"/>
    </xf>
    <xf numFmtId="49" fontId="26" fillId="0" borderId="19" xfId="19" applyNumberFormat="1" applyFont="1" applyFill="1" applyBorder="1" applyAlignment="1">
      <alignment horizontal="center" vertical="center"/>
    </xf>
    <xf numFmtId="0" fontId="34" fillId="0" borderId="55" xfId="0" applyFont="1" applyFill="1" applyBorder="1" applyAlignment="1" applyProtection="1">
      <alignment horizontal="center" vertical="center"/>
      <protection locked="0"/>
    </xf>
    <xf numFmtId="0" fontId="25" fillId="0" borderId="22" xfId="0" applyFont="1" applyFill="1" applyBorder="1" applyAlignment="1">
      <alignment horizontal="center" vertical="center" wrapText="1"/>
    </xf>
    <xf numFmtId="0" fontId="36" fillId="0" borderId="19" xfId="0" applyFont="1" applyFill="1" applyBorder="1" applyAlignment="1">
      <alignment horizontal="center" vertical="center" wrapText="1"/>
    </xf>
    <xf numFmtId="0" fontId="34" fillId="0" borderId="65" xfId="0" applyFont="1" applyFill="1" applyBorder="1" applyAlignment="1" applyProtection="1">
      <alignment horizontal="center" vertical="center"/>
      <protection locked="0"/>
    </xf>
    <xf numFmtId="0" fontId="36" fillId="0" borderId="22" xfId="0" applyFont="1" applyFill="1" applyBorder="1" applyAlignment="1">
      <alignment horizontal="center" vertical="center" wrapText="1"/>
    </xf>
    <xf numFmtId="0" fontId="34" fillId="0" borderId="41" xfId="0" applyFont="1" applyFill="1" applyBorder="1" applyAlignment="1" applyProtection="1">
      <alignment horizontal="center" vertical="center"/>
      <protection locked="0"/>
    </xf>
    <xf numFmtId="0" fontId="34" fillId="0" borderId="43" xfId="0" applyFont="1" applyFill="1" applyBorder="1" applyAlignment="1" applyProtection="1">
      <alignment horizontal="center" vertical="center"/>
      <protection locked="0"/>
    </xf>
    <xf numFmtId="0" fontId="18" fillId="0" borderId="45" xfId="0" applyFont="1" applyFill="1" applyBorder="1" applyAlignment="1">
      <alignment horizontal="center" vertical="center" wrapText="1"/>
    </xf>
    <xf numFmtId="0" fontId="6" fillId="0" borderId="54" xfId="0" applyFont="1" applyFill="1" applyBorder="1" applyAlignment="1" applyProtection="1">
      <alignment horizontal="center" vertical="center"/>
      <protection locked="0"/>
    </xf>
    <xf numFmtId="0" fontId="18" fillId="0" borderId="21" xfId="0" applyFont="1" applyFill="1" applyBorder="1" applyAlignment="1">
      <alignment horizontal="center" vertical="center" wrapText="1"/>
    </xf>
    <xf numFmtId="0" fontId="25" fillId="0" borderId="53" xfId="0" applyFont="1" applyFill="1" applyBorder="1" applyAlignment="1">
      <alignment horizontal="center" vertical="center" wrapText="1"/>
    </xf>
    <xf numFmtId="0" fontId="25" fillId="0" borderId="21" xfId="0" applyFont="1" applyFill="1" applyBorder="1" applyAlignment="1">
      <alignment horizontal="center" vertical="center" wrapText="1"/>
    </xf>
    <xf numFmtId="0" fontId="20" fillId="0" borderId="21" xfId="0" applyFont="1" applyFill="1" applyBorder="1" applyAlignment="1">
      <alignment horizontal="center" vertical="center" wrapText="1"/>
    </xf>
    <xf numFmtId="0" fontId="81" fillId="0" borderId="53" xfId="0" applyFont="1" applyFill="1" applyBorder="1" applyAlignment="1" applyProtection="1">
      <alignment horizontal="center" vertical="center"/>
      <protection locked="0"/>
    </xf>
    <xf numFmtId="0" fontId="20" fillId="0" borderId="21" xfId="0" applyFont="1" applyFill="1" applyBorder="1" applyAlignment="1">
      <alignment horizontal="center" vertical="center"/>
    </xf>
    <xf numFmtId="49" fontId="26" fillId="0" borderId="51" xfId="19" applyNumberFormat="1" applyFont="1" applyFill="1" applyBorder="1" applyAlignment="1">
      <alignment horizontal="center" vertical="center"/>
    </xf>
    <xf numFmtId="0" fontId="6" fillId="0" borderId="56" xfId="0" applyFont="1" applyFill="1" applyBorder="1" applyAlignment="1" applyProtection="1">
      <alignment horizontal="center" vertical="center"/>
      <protection locked="0"/>
    </xf>
    <xf numFmtId="0" fontId="25" fillId="0" borderId="51" xfId="0" applyFont="1" applyFill="1" applyBorder="1" applyAlignment="1" applyProtection="1">
      <alignment horizontal="center" vertical="center"/>
      <protection locked="0"/>
    </xf>
    <xf numFmtId="179" fontId="25" fillId="0" borderId="57" xfId="0" applyNumberFormat="1" applyFont="1" applyFill="1" applyBorder="1" applyAlignment="1" applyProtection="1">
      <alignment horizontal="center" vertical="center"/>
      <protection locked="0"/>
    </xf>
    <xf numFmtId="179" fontId="25" fillId="0" borderId="65" xfId="0" applyNumberFormat="1" applyFont="1" applyFill="1" applyBorder="1" applyAlignment="1" applyProtection="1">
      <alignment horizontal="center" vertical="center"/>
      <protection locked="0"/>
    </xf>
    <xf numFmtId="179" fontId="22" fillId="0" borderId="15" xfId="3" applyNumberFormat="1" applyFont="1" applyFill="1" applyBorder="1" applyAlignment="1" applyProtection="1">
      <alignment horizontal="center" vertical="center"/>
    </xf>
    <xf numFmtId="179" fontId="22" fillId="0" borderId="16" xfId="0" applyNumberFormat="1" applyFont="1" applyFill="1" applyBorder="1" applyAlignment="1" applyProtection="1">
      <alignment horizontal="center" vertical="center"/>
      <protection locked="0"/>
    </xf>
    <xf numFmtId="3" fontId="22" fillId="0" borderId="15" xfId="3" applyNumberFormat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26" fillId="0" borderId="49" xfId="6" applyFont="1" applyFill="1" applyBorder="1" applyAlignment="1">
      <alignment horizontal="left" vertical="center" wrapText="1"/>
    </xf>
    <xf numFmtId="0" fontId="18" fillId="2" borderId="48" xfId="0" applyFont="1" applyFill="1" applyBorder="1" applyAlignment="1">
      <alignment horizontal="center" vertical="center" wrapText="1"/>
    </xf>
    <xf numFmtId="0" fontId="27" fillId="2" borderId="60" xfId="0" applyFont="1" applyFill="1" applyBorder="1" applyAlignment="1">
      <alignment horizontal="center" vertical="center" wrapText="1" readingOrder="1"/>
    </xf>
    <xf numFmtId="0" fontId="18" fillId="2" borderId="19" xfId="0" applyFont="1" applyFill="1" applyBorder="1" applyAlignment="1">
      <alignment vertical="center" wrapText="1"/>
    </xf>
    <xf numFmtId="0" fontId="25" fillId="2" borderId="19" xfId="4" applyFont="1" applyFill="1" applyBorder="1" applyAlignment="1">
      <alignment vertical="center" wrapText="1"/>
    </xf>
    <xf numFmtId="0" fontId="26" fillId="2" borderId="48" xfId="6" applyFont="1" applyFill="1" applyBorder="1" applyAlignment="1">
      <alignment horizontal="left" vertical="center" wrapText="1"/>
    </xf>
    <xf numFmtId="0" fontId="18" fillId="2" borderId="81" xfId="0" applyFont="1" applyFill="1" applyBorder="1" applyAlignment="1">
      <alignment horizontal="center" wrapText="1"/>
    </xf>
    <xf numFmtId="0" fontId="25" fillId="2" borderId="67" xfId="0" applyFont="1" applyFill="1" applyBorder="1" applyAlignment="1">
      <alignment horizontal="center" vertical="center" wrapText="1"/>
    </xf>
    <xf numFmtId="0" fontId="18" fillId="2" borderId="48" xfId="0" applyFont="1" applyFill="1" applyBorder="1" applyAlignment="1">
      <alignment horizontal="center" wrapText="1"/>
    </xf>
    <xf numFmtId="0" fontId="18" fillId="2" borderId="83" xfId="0" applyFont="1" applyFill="1" applyBorder="1" applyAlignment="1">
      <alignment horizontal="center" vertical="center" wrapText="1"/>
    </xf>
    <xf numFmtId="0" fontId="27" fillId="2" borderId="19" xfId="0" applyFont="1" applyFill="1" applyBorder="1" applyAlignment="1">
      <alignment vertical="center" wrapText="1"/>
    </xf>
    <xf numFmtId="0" fontId="18" fillId="2" borderId="19" xfId="0" applyFont="1" applyFill="1" applyBorder="1" applyAlignment="1">
      <alignment horizontal="center" wrapText="1"/>
    </xf>
    <xf numFmtId="0" fontId="25" fillId="2" borderId="19" xfId="0" applyFont="1" applyFill="1" applyBorder="1" applyAlignment="1">
      <alignment horizontal="justify" vertical="center" wrapText="1"/>
    </xf>
    <xf numFmtId="0" fontId="18" fillId="2" borderId="46" xfId="0" applyFont="1" applyFill="1" applyBorder="1" applyAlignment="1">
      <alignment horizontal="center" wrapText="1"/>
    </xf>
    <xf numFmtId="0" fontId="18" fillId="2" borderId="81" xfId="0" applyFont="1" applyFill="1" applyBorder="1" applyAlignment="1">
      <alignment horizontal="center" vertical="center" wrapText="1"/>
    </xf>
    <xf numFmtId="0" fontId="18" fillId="2" borderId="48" xfId="0" applyFont="1" applyFill="1" applyBorder="1" applyAlignment="1">
      <alignment vertical="center" wrapText="1"/>
    </xf>
    <xf numFmtId="0" fontId="20" fillId="2" borderId="88" xfId="0" applyFont="1" applyFill="1" applyBorder="1" applyAlignment="1">
      <alignment vertical="center" wrapText="1"/>
    </xf>
    <xf numFmtId="0" fontId="20" fillId="2" borderId="48" xfId="0" applyFont="1" applyFill="1" applyBorder="1" applyAlignment="1">
      <alignment vertical="center" wrapText="1"/>
    </xf>
    <xf numFmtId="0" fontId="18" fillId="2" borderId="83" xfId="0" applyFont="1" applyFill="1" applyBorder="1" applyAlignment="1">
      <alignment horizontal="center"/>
    </xf>
    <xf numFmtId="0" fontId="18" fillId="2" borderId="86" xfId="0" applyFont="1" applyFill="1" applyBorder="1" applyAlignment="1">
      <alignment vertical="center" wrapText="1"/>
    </xf>
    <xf numFmtId="0" fontId="18" fillId="2" borderId="91" xfId="0" applyFont="1" applyFill="1" applyBorder="1" applyAlignment="1">
      <alignment vertical="center" wrapText="1"/>
    </xf>
    <xf numFmtId="0" fontId="22" fillId="2" borderId="85" xfId="0" applyFont="1" applyFill="1" applyBorder="1" applyAlignment="1">
      <alignment horizontal="center" vertical="center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8" fillId="2" borderId="5" xfId="0" applyFont="1" applyFill="1" applyBorder="1" applyAlignment="1" applyProtection="1">
      <alignment horizontal="center" vertical="center"/>
      <protection locked="0"/>
    </xf>
    <xf numFmtId="0" fontId="19" fillId="2" borderId="14" xfId="0" applyFont="1" applyFill="1" applyBorder="1" applyAlignment="1" applyProtection="1">
      <alignment horizontal="center" vertical="center"/>
      <protection locked="0"/>
    </xf>
    <xf numFmtId="0" fontId="19" fillId="2" borderId="18" xfId="0" applyFont="1" applyFill="1" applyBorder="1" applyAlignment="1" applyProtection="1">
      <alignment horizontal="center" vertical="center"/>
      <protection locked="0"/>
    </xf>
    <xf numFmtId="0" fontId="19" fillId="2" borderId="66" xfId="0" applyFont="1" applyFill="1" applyBorder="1" applyAlignment="1" applyProtection="1">
      <alignment horizontal="center" vertical="center"/>
      <protection locked="0"/>
    </xf>
    <xf numFmtId="0" fontId="20" fillId="2" borderId="66" xfId="0" applyFont="1" applyFill="1" applyBorder="1" applyAlignment="1" applyProtection="1">
      <alignment horizontal="center" vertical="center"/>
      <protection locked="0"/>
    </xf>
    <xf numFmtId="0" fontId="20" fillId="2" borderId="18" xfId="0" applyFont="1" applyFill="1" applyBorder="1" applyAlignment="1" applyProtection="1">
      <alignment horizontal="center" vertical="center"/>
      <protection locked="0"/>
    </xf>
    <xf numFmtId="0" fontId="35" fillId="2" borderId="66" xfId="0" applyFont="1" applyFill="1" applyBorder="1" applyAlignment="1" applyProtection="1">
      <alignment horizontal="center" vertical="center" wrapText="1"/>
      <protection locked="0"/>
    </xf>
    <xf numFmtId="0" fontId="13" fillId="2" borderId="0" xfId="0" applyFont="1" applyFill="1" applyAlignment="1">
      <alignment vertical="center"/>
    </xf>
    <xf numFmtId="179" fontId="25" fillId="0" borderId="29" xfId="0" applyNumberFormat="1" applyFont="1" applyBorder="1" applyAlignment="1" applyProtection="1">
      <alignment vertical="center"/>
      <protection locked="0"/>
    </xf>
    <xf numFmtId="179" fontId="25" fillId="0" borderId="32" xfId="0" applyNumberFormat="1" applyFont="1" applyBorder="1" applyAlignment="1" applyProtection="1">
      <alignment vertical="center"/>
      <protection locked="0"/>
    </xf>
    <xf numFmtId="3" fontId="13" fillId="0" borderId="104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41" fontId="2" fillId="0" borderId="0" xfId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1" fontId="7" fillId="0" borderId="0" xfId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 wrapText="1"/>
    </xf>
    <xf numFmtId="0" fontId="19" fillId="0" borderId="97" xfId="0" applyFont="1" applyBorder="1" applyAlignment="1" applyProtection="1">
      <alignment horizontal="center" vertical="center"/>
      <protection locked="0"/>
    </xf>
    <xf numFmtId="0" fontId="19" fillId="0" borderId="98" xfId="0" applyFont="1" applyBorder="1" applyAlignment="1" applyProtection="1">
      <alignment horizontal="center" vertical="center"/>
      <protection locked="0"/>
    </xf>
    <xf numFmtId="3" fontId="13" fillId="0" borderId="99" xfId="0" applyNumberFormat="1" applyFont="1" applyBorder="1" applyAlignment="1" applyProtection="1">
      <alignment horizontal="center" vertical="center"/>
      <protection locked="0"/>
    </xf>
    <xf numFmtId="3" fontId="13" fillId="0" borderId="100" xfId="0" applyNumberFormat="1" applyFont="1" applyBorder="1" applyAlignment="1" applyProtection="1">
      <alignment horizontal="center" vertical="center"/>
      <protection locked="0"/>
    </xf>
    <xf numFmtId="0" fontId="30" fillId="0" borderId="28" xfId="0" applyFont="1" applyBorder="1" applyAlignment="1" applyProtection="1">
      <alignment horizontal="left" vertical="top"/>
      <protection locked="0"/>
    </xf>
    <xf numFmtId="0" fontId="30" fillId="0" borderId="29" xfId="0" applyFont="1" applyBorder="1" applyAlignment="1" applyProtection="1">
      <alignment horizontal="left" vertical="top"/>
      <protection locked="0"/>
    </xf>
    <xf numFmtId="0" fontId="30" fillId="0" borderId="34" xfId="0" applyFont="1" applyBorder="1" applyAlignment="1" applyProtection="1">
      <alignment horizontal="left" vertical="top"/>
      <protection locked="0"/>
    </xf>
    <xf numFmtId="0" fontId="30" fillId="0" borderId="35" xfId="0" applyFont="1" applyBorder="1" applyAlignment="1" applyProtection="1">
      <alignment horizontal="left" vertical="top"/>
      <protection locked="0"/>
    </xf>
    <xf numFmtId="0" fontId="30" fillId="0" borderId="0" xfId="0" applyFont="1" applyBorder="1" applyAlignment="1" applyProtection="1">
      <alignment horizontal="left" vertical="top"/>
      <protection locked="0"/>
    </xf>
    <xf numFmtId="0" fontId="30" fillId="0" borderId="36" xfId="0" applyFont="1" applyBorder="1" applyAlignment="1" applyProtection="1">
      <alignment horizontal="left" vertical="top"/>
      <protection locked="0"/>
    </xf>
    <xf numFmtId="0" fontId="30" fillId="0" borderId="38" xfId="0" applyFont="1" applyBorder="1" applyAlignment="1" applyProtection="1">
      <alignment horizontal="left" vertical="top"/>
      <protection locked="0"/>
    </xf>
    <xf numFmtId="0" fontId="30" fillId="0" borderId="25" xfId="0" applyFont="1" applyBorder="1" applyAlignment="1" applyProtection="1">
      <alignment horizontal="left" vertical="top"/>
      <protection locked="0"/>
    </xf>
    <xf numFmtId="0" fontId="30" fillId="0" borderId="39" xfId="0" applyFont="1" applyBorder="1" applyAlignment="1" applyProtection="1">
      <alignment horizontal="left" vertical="top"/>
      <protection locked="0"/>
    </xf>
    <xf numFmtId="0" fontId="31" fillId="0" borderId="101" xfId="0" applyFont="1" applyBorder="1" applyAlignment="1" applyProtection="1">
      <alignment horizontal="left" vertical="center" wrapText="1"/>
      <protection locked="0"/>
    </xf>
    <xf numFmtId="0" fontId="31" fillId="0" borderId="29" xfId="0" applyFont="1" applyBorder="1" applyAlignment="1" applyProtection="1">
      <alignment horizontal="left" vertical="center" wrapText="1"/>
      <protection locked="0"/>
    </xf>
    <xf numFmtId="0" fontId="31" fillId="0" borderId="30" xfId="0" applyFont="1" applyBorder="1" applyAlignment="1" applyProtection="1">
      <alignment horizontal="left" vertical="center" wrapText="1"/>
      <protection locked="0"/>
    </xf>
    <xf numFmtId="0" fontId="31" fillId="0" borderId="102" xfId="0" applyFont="1" applyBorder="1" applyAlignment="1" applyProtection="1">
      <alignment horizontal="left" vertical="center" wrapText="1"/>
      <protection locked="0"/>
    </xf>
    <xf numFmtId="0" fontId="31" fillId="0" borderId="0" xfId="0" applyFont="1" applyBorder="1" applyAlignment="1" applyProtection="1">
      <alignment horizontal="left" vertical="center" wrapText="1"/>
      <protection locked="0"/>
    </xf>
    <xf numFmtId="0" fontId="31" fillId="0" borderId="37" xfId="0" applyFont="1" applyBorder="1" applyAlignment="1" applyProtection="1">
      <alignment horizontal="left" vertical="center" wrapText="1"/>
      <protection locked="0"/>
    </xf>
    <xf numFmtId="0" fontId="31" fillId="0" borderId="103" xfId="0" applyFont="1" applyBorder="1" applyAlignment="1" applyProtection="1">
      <alignment horizontal="left" vertical="center" wrapText="1"/>
      <protection locked="0"/>
    </xf>
    <xf numFmtId="0" fontId="31" fillId="0" borderId="25" xfId="0" applyFont="1" applyBorder="1" applyAlignment="1" applyProtection="1">
      <alignment horizontal="left" vertical="center" wrapText="1"/>
      <protection locked="0"/>
    </xf>
    <xf numFmtId="0" fontId="31" fillId="0" borderId="40" xfId="0" applyFont="1" applyBorder="1" applyAlignment="1" applyProtection="1">
      <alignment horizontal="left" vertical="center" wrapText="1"/>
      <protection locked="0"/>
    </xf>
  </cellXfs>
  <cellStyles count="153">
    <cellStyle name="_1" xfId="23"/>
    <cellStyle name="_Book1" xfId="24"/>
    <cellStyle name="_Book2" xfId="25"/>
    <cellStyle name="_J101 CRADLE塑膠模具開發估價單-工元" xfId="26"/>
    <cellStyle name="_J103 (J166)" xfId="27"/>
    <cellStyle name="_J103_塑膠模具開發估價單--估價--1102a (2)" xfId="28"/>
    <cellStyle name="_J166_塑膠模具開發估價單--0927" xfId="29"/>
    <cellStyle name="_U200塑膠模具開發估價單-1" xfId="30"/>
    <cellStyle name="_報價單(空白)" xfId="31"/>
    <cellStyle name="_華碩" xfId="32"/>
    <cellStyle name="_塑膠模具開發估價單_W5V_cmr_cover" xfId="33"/>
    <cellStyle name="0,0_x000a__x000a_NA_x000a__x000a_ 2" xfId="21"/>
    <cellStyle name="0,0_x000d__x000a_NA_x000d__x000a_" xfId="9"/>
    <cellStyle name="20% - 强调文字颜色 1" xfId="34"/>
    <cellStyle name="20% - 强调文字颜色 1 2" xfId="35"/>
    <cellStyle name="20% - 强调文字颜色 2" xfId="36"/>
    <cellStyle name="20% - 强调文字颜色 2 2" xfId="37"/>
    <cellStyle name="20% - 强调文字颜色 3" xfId="38"/>
    <cellStyle name="20% - 强调文字颜色 3 2" xfId="39"/>
    <cellStyle name="20% - 强调文字颜色 4" xfId="40"/>
    <cellStyle name="20% - 强调文字颜色 4 2" xfId="41"/>
    <cellStyle name="20% - 强调文字颜色 5" xfId="42"/>
    <cellStyle name="20% - 强调文字颜色 5 2" xfId="43"/>
    <cellStyle name="20% - 强调文字颜色 6" xfId="44"/>
    <cellStyle name="20% - 强调文字颜色 6 2" xfId="45"/>
    <cellStyle name="20% - 輔色1 2" xfId="46"/>
    <cellStyle name="20% - 輔色2 2" xfId="47"/>
    <cellStyle name="20% - 輔色3 2" xfId="48"/>
    <cellStyle name="20% - 輔色4 2" xfId="49"/>
    <cellStyle name="20% - 輔色5 2" xfId="50"/>
    <cellStyle name="20% - 輔色6 2" xfId="51"/>
    <cellStyle name="40% - 强调文字颜色 1" xfId="52"/>
    <cellStyle name="40% - 强调文字颜色 1 2" xfId="53"/>
    <cellStyle name="40% - 强调文字颜色 2" xfId="54"/>
    <cellStyle name="40% - 强调文字颜色 2 2" xfId="55"/>
    <cellStyle name="40% - 强调文字颜色 3" xfId="56"/>
    <cellStyle name="40% - 强调文字颜色 3 2" xfId="57"/>
    <cellStyle name="40% - 强调文字颜色 4" xfId="58"/>
    <cellStyle name="40% - 强调文字颜色 4 2" xfId="59"/>
    <cellStyle name="40% - 强调文字颜色 5" xfId="60"/>
    <cellStyle name="40% - 强调文字颜色 5 2" xfId="61"/>
    <cellStyle name="40% - 强调文字颜色 6" xfId="62"/>
    <cellStyle name="40% - 强调文字颜色 6 2" xfId="63"/>
    <cellStyle name="40% - 輔色1 2" xfId="64"/>
    <cellStyle name="40% - 輔色2 2" xfId="65"/>
    <cellStyle name="40% - 輔色3 2" xfId="66"/>
    <cellStyle name="40% - 輔色4 2" xfId="67"/>
    <cellStyle name="40% - 輔色5 2" xfId="68"/>
    <cellStyle name="40% - 輔色6 2" xfId="69"/>
    <cellStyle name="60% - 强调文字颜色 1" xfId="70"/>
    <cellStyle name="60% - 强调文字颜色 2" xfId="71"/>
    <cellStyle name="60% - 强调文字颜色 3" xfId="72"/>
    <cellStyle name="60% - 强调文字颜色 4" xfId="73"/>
    <cellStyle name="60% - 强调文字颜色 5" xfId="74"/>
    <cellStyle name="60% - 强调文字颜色 6" xfId="75"/>
    <cellStyle name="60% - 輔色1 2" xfId="76"/>
    <cellStyle name="60% - 輔色2 2" xfId="77"/>
    <cellStyle name="60% - 輔色3 2" xfId="78"/>
    <cellStyle name="60% - 輔色4 2" xfId="79"/>
    <cellStyle name="60% - 輔色5 2" xfId="80"/>
    <cellStyle name="60% - 輔色6 2" xfId="81"/>
    <cellStyle name="Comma_Customized AVL" xfId="82"/>
    <cellStyle name="Excel Built-in Normal" xfId="10"/>
    <cellStyle name="Excel_BuiltIn_Currency" xfId="3"/>
    <cellStyle name="Hyperlink_Contacts 8_26_Jazz Scorecard 2_27_04" xfId="83"/>
    <cellStyle name="l]_x000d__x000a_Path=h:_x000d__x000a_Name=Diana Chang_x000d__x000a_DDEApps=nsf,nsg,nsh,ntf,ns2,ors,org_x000d__x000a_SmartIcons=Read Message_x000d__x000a__x000d__x000a__x000d__x000a_[cc:Edit" xfId="5"/>
    <cellStyle name="Norm੎੎" xfId="11"/>
    <cellStyle name="Normal_Contacts 8_26_Jazz Scorecard 2_27_04" xfId="84"/>
    <cellStyle name="一般" xfId="0" builtinId="0"/>
    <cellStyle name="一般 10" xfId="20"/>
    <cellStyle name="一般 18" xfId="150"/>
    <cellStyle name="一般 19" xfId="151"/>
    <cellStyle name="一般 2" xfId="12"/>
    <cellStyle name="一般 2 2" xfId="4"/>
    <cellStyle name="一般 2 3" xfId="13"/>
    <cellStyle name="一般 2 5" xfId="152"/>
    <cellStyle name="一般 2_c56x_CE_sheet_white_130206_v02" xfId="14"/>
    <cellStyle name="一般 3" xfId="8"/>
    <cellStyle name="一般 3 2" xfId="15"/>
    <cellStyle name="一般 3 3" xfId="85"/>
    <cellStyle name="一般 4" xfId="6"/>
    <cellStyle name="一般 5" xfId="7"/>
    <cellStyle name="一般 6" xfId="18"/>
    <cellStyle name="一般 6 2" xfId="86"/>
    <cellStyle name="一般 7" xfId="87"/>
    <cellStyle name="一般 8" xfId="88"/>
    <cellStyle name="一般 9" xfId="89"/>
    <cellStyle name="一般_2013 Traditional ME &amp; EMG Part List_120502_v05" xfId="19"/>
    <cellStyle name="一般_配件" xfId="2"/>
    <cellStyle name="千分位 16" xfId="22"/>
    <cellStyle name="千分位[0]" xfId="1" builtinId="6"/>
    <cellStyle name="千分位[0] 2" xfId="16"/>
    <cellStyle name="中等 2" xfId="90"/>
    <cellStyle name="计算" xfId="91"/>
    <cellStyle name="汇总" xfId="92"/>
    <cellStyle name="合計 2" xfId="93"/>
    <cellStyle name="好 2" xfId="94"/>
    <cellStyle name="好_2 Cell Battery-081209-Xieyu-ver 1" xfId="95"/>
    <cellStyle name="好_a (k) 15~19TV  081210" xfId="96"/>
    <cellStyle name="好_a (k) 15~19TV  081210 (2)" xfId="97"/>
    <cellStyle name="好_b SOLI BETTER 081119" xfId="98"/>
    <cellStyle name="好_MB081225056-MCR_CLIENT-UNIHAN" xfId="99"/>
    <cellStyle name="好_MB081225056-MCR_CLIENT-UNIHAN_估價規格-Plastic" xfId="100"/>
    <cellStyle name="好_MB081225056-MCR_CLIENT-UNIHAN_配件" xfId="101"/>
    <cellStyle name="好_SOLI BETTER" xfId="102"/>
    <cellStyle name="好_T28   協宇報價  081108" xfId="103"/>
    <cellStyle name="好_up case    協宇報價  081108" xfId="104"/>
    <cellStyle name="注释" xfId="105"/>
    <cellStyle name="标题" xfId="106"/>
    <cellStyle name="标题 1" xfId="107"/>
    <cellStyle name="标题 2" xfId="108"/>
    <cellStyle name="标题 3" xfId="109"/>
    <cellStyle name="标题 4" xfId="110"/>
    <cellStyle name="标题_估價規格-Plastic" xfId="111"/>
    <cellStyle name="計算方式 2" xfId="112"/>
    <cellStyle name="差" xfId="113"/>
    <cellStyle name="差_估價規格-Plastic" xfId="114"/>
    <cellStyle name="差_配件" xfId="115"/>
    <cellStyle name="适中" xfId="116"/>
    <cellStyle name="常规_复件 宠物笼报价" xfId="117"/>
    <cellStyle name="检查单元格" xfId="118"/>
    <cellStyle name="連結的儲存格 2" xfId="119"/>
    <cellStyle name="備註 2" xfId="120"/>
    <cellStyle name="强调文字颜色 1" xfId="121"/>
    <cellStyle name="强调文字颜色 2" xfId="122"/>
    <cellStyle name="强调文字颜色 3" xfId="123"/>
    <cellStyle name="强调文字颜色 4" xfId="124"/>
    <cellStyle name="强调文字颜色 5" xfId="125"/>
    <cellStyle name="强调文字颜色 6" xfId="126"/>
    <cellStyle name="链接单元格" xfId="127"/>
    <cellStyle name="解释性文本" xfId="128"/>
    <cellStyle name="输入" xfId="129"/>
    <cellStyle name="输出" xfId="130"/>
    <cellStyle name="說明文字 2" xfId="131"/>
    <cellStyle name="輔色1 2" xfId="132"/>
    <cellStyle name="輔色2 2" xfId="133"/>
    <cellStyle name="輔色3 2" xfId="134"/>
    <cellStyle name="輔色4 2" xfId="135"/>
    <cellStyle name="輔色5 2" xfId="136"/>
    <cellStyle name="輔色6 2" xfId="137"/>
    <cellStyle name="標題 1 2" xfId="138"/>
    <cellStyle name="標題 2 2" xfId="139"/>
    <cellStyle name="標題 3 2" xfId="140"/>
    <cellStyle name="標題 4 2" xfId="141"/>
    <cellStyle name="標題 5" xfId="142"/>
    <cellStyle name="樣式 1" xfId="17"/>
    <cellStyle name="樣式 1 2" xfId="143"/>
    <cellStyle name="輸入 2" xfId="144"/>
    <cellStyle name="輸出 2" xfId="145"/>
    <cellStyle name="檢查儲存格 2" xfId="146"/>
    <cellStyle name="壞 2" xfId="147"/>
    <cellStyle name="警告文本" xfId="148"/>
    <cellStyle name="警告文字 2" xfId="14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/>
  <dimension ref="A1:AW107"/>
  <sheetViews>
    <sheetView tabSelected="1" zoomScale="85" zoomScaleNormal="85" workbookViewId="0">
      <selection activeCell="G5" sqref="G5"/>
    </sheetView>
  </sheetViews>
  <sheetFormatPr defaultColWidth="8.90625" defaultRowHeight="17"/>
  <cols>
    <col min="1" max="1" width="6.90625" style="2" customWidth="1"/>
    <col min="2" max="2" width="47.6328125" style="224" bestFit="1" customWidth="1"/>
    <col min="3" max="3" width="42.6328125" style="2" customWidth="1"/>
    <col min="4" max="4" width="15.90625" style="2" customWidth="1"/>
    <col min="5" max="5" width="7.08984375" style="12" bestFit="1" customWidth="1"/>
    <col min="6" max="6" width="12.26953125" style="146" bestFit="1" customWidth="1"/>
    <col min="7" max="7" width="10.6328125" style="4" customWidth="1"/>
    <col min="8" max="8" width="6.6328125" style="2" customWidth="1"/>
    <col min="9" max="9" width="9.08984375" style="2" customWidth="1"/>
    <col min="10" max="10" width="10.6328125" style="4" customWidth="1"/>
    <col min="11" max="11" width="7.453125" style="2" customWidth="1"/>
    <col min="12" max="12" width="8.6328125" style="2" customWidth="1"/>
    <col min="13" max="13" width="10.6328125" style="4" customWidth="1"/>
    <col min="14" max="14" width="10.6328125" style="234" customWidth="1"/>
    <col min="15" max="15" width="33.36328125" style="37" customWidth="1"/>
    <col min="16" max="16" width="14.7265625" style="11" bestFit="1" customWidth="1"/>
    <col min="17" max="46" width="8.90625" style="1" customWidth="1"/>
    <col min="47" max="249" width="8.90625" style="2"/>
    <col min="250" max="250" width="6.90625" style="2" customWidth="1"/>
    <col min="251" max="251" width="9.6328125" style="2" customWidth="1"/>
    <col min="252" max="252" width="26.6328125" style="2" customWidth="1"/>
    <col min="253" max="253" width="15.90625" style="2" customWidth="1"/>
    <col min="254" max="254" width="7.08984375" style="2" bestFit="1" customWidth="1"/>
    <col min="255" max="255" width="9.453125" style="2" bestFit="1" customWidth="1"/>
    <col min="256" max="256" width="10.6328125" style="2" customWidth="1"/>
    <col min="257" max="257" width="6.6328125" style="2" customWidth="1"/>
    <col min="258" max="258" width="9.08984375" style="2" customWidth="1"/>
    <col min="259" max="259" width="10.6328125" style="2" customWidth="1"/>
    <col min="260" max="260" width="7.453125" style="2" customWidth="1"/>
    <col min="261" max="261" width="8.6328125" style="2" customWidth="1"/>
    <col min="262" max="263" width="10.6328125" style="2" customWidth="1"/>
    <col min="264" max="264" width="33.36328125" style="2" customWidth="1"/>
    <col min="265" max="302" width="8.90625" style="2" customWidth="1"/>
    <col min="303" max="505" width="8.90625" style="2"/>
    <col min="506" max="506" width="6.90625" style="2" customWidth="1"/>
    <col min="507" max="507" width="9.6328125" style="2" customWidth="1"/>
    <col min="508" max="508" width="26.6328125" style="2" customWidth="1"/>
    <col min="509" max="509" width="15.90625" style="2" customWidth="1"/>
    <col min="510" max="510" width="7.08984375" style="2" bestFit="1" customWidth="1"/>
    <col min="511" max="511" width="9.453125" style="2" bestFit="1" customWidth="1"/>
    <col min="512" max="512" width="10.6328125" style="2" customWidth="1"/>
    <col min="513" max="513" width="6.6328125" style="2" customWidth="1"/>
    <col min="514" max="514" width="9.08984375" style="2" customWidth="1"/>
    <col min="515" max="515" width="10.6328125" style="2" customWidth="1"/>
    <col min="516" max="516" width="7.453125" style="2" customWidth="1"/>
    <col min="517" max="517" width="8.6328125" style="2" customWidth="1"/>
    <col min="518" max="519" width="10.6328125" style="2" customWidth="1"/>
    <col min="520" max="520" width="33.36328125" style="2" customWidth="1"/>
    <col min="521" max="558" width="8.90625" style="2" customWidth="1"/>
    <col min="559" max="761" width="8.90625" style="2"/>
    <col min="762" max="762" width="6.90625" style="2" customWidth="1"/>
    <col min="763" max="763" width="9.6328125" style="2" customWidth="1"/>
    <col min="764" max="764" width="26.6328125" style="2" customWidth="1"/>
    <col min="765" max="765" width="15.90625" style="2" customWidth="1"/>
    <col min="766" max="766" width="7.08984375" style="2" bestFit="1" customWidth="1"/>
    <col min="767" max="767" width="9.453125" style="2" bestFit="1" customWidth="1"/>
    <col min="768" max="768" width="10.6328125" style="2" customWidth="1"/>
    <col min="769" max="769" width="6.6328125" style="2" customWidth="1"/>
    <col min="770" max="770" width="9.08984375" style="2" customWidth="1"/>
    <col min="771" max="771" width="10.6328125" style="2" customWidth="1"/>
    <col min="772" max="772" width="7.453125" style="2" customWidth="1"/>
    <col min="773" max="773" width="8.6328125" style="2" customWidth="1"/>
    <col min="774" max="775" width="10.6328125" style="2" customWidth="1"/>
    <col min="776" max="776" width="33.36328125" style="2" customWidth="1"/>
    <col min="777" max="814" width="8.90625" style="2" customWidth="1"/>
    <col min="815" max="1017" width="8.90625" style="2"/>
    <col min="1018" max="1018" width="6.90625" style="2" customWidth="1"/>
    <col min="1019" max="1019" width="9.6328125" style="2" customWidth="1"/>
    <col min="1020" max="1020" width="26.6328125" style="2" customWidth="1"/>
    <col min="1021" max="1021" width="15.90625" style="2" customWidth="1"/>
    <col min="1022" max="1022" width="7.08984375" style="2" bestFit="1" customWidth="1"/>
    <col min="1023" max="1023" width="9.453125" style="2" bestFit="1" customWidth="1"/>
    <col min="1024" max="1024" width="10.6328125" style="2" customWidth="1"/>
    <col min="1025" max="1025" width="6.6328125" style="2" customWidth="1"/>
    <col min="1026" max="1026" width="9.08984375" style="2" customWidth="1"/>
    <col min="1027" max="1027" width="10.6328125" style="2" customWidth="1"/>
    <col min="1028" max="1028" width="7.453125" style="2" customWidth="1"/>
    <col min="1029" max="1029" width="8.6328125" style="2" customWidth="1"/>
    <col min="1030" max="1031" width="10.6328125" style="2" customWidth="1"/>
    <col min="1032" max="1032" width="33.36328125" style="2" customWidth="1"/>
    <col min="1033" max="1070" width="8.90625" style="2" customWidth="1"/>
    <col min="1071" max="1273" width="8.90625" style="2"/>
    <col min="1274" max="1274" width="6.90625" style="2" customWidth="1"/>
    <col min="1275" max="1275" width="9.6328125" style="2" customWidth="1"/>
    <col min="1276" max="1276" width="26.6328125" style="2" customWidth="1"/>
    <col min="1277" max="1277" width="15.90625" style="2" customWidth="1"/>
    <col min="1278" max="1278" width="7.08984375" style="2" bestFit="1" customWidth="1"/>
    <col min="1279" max="1279" width="9.453125" style="2" bestFit="1" customWidth="1"/>
    <col min="1280" max="1280" width="10.6328125" style="2" customWidth="1"/>
    <col min="1281" max="1281" width="6.6328125" style="2" customWidth="1"/>
    <col min="1282" max="1282" width="9.08984375" style="2" customWidth="1"/>
    <col min="1283" max="1283" width="10.6328125" style="2" customWidth="1"/>
    <col min="1284" max="1284" width="7.453125" style="2" customWidth="1"/>
    <col min="1285" max="1285" width="8.6328125" style="2" customWidth="1"/>
    <col min="1286" max="1287" width="10.6328125" style="2" customWidth="1"/>
    <col min="1288" max="1288" width="33.36328125" style="2" customWidth="1"/>
    <col min="1289" max="1326" width="8.90625" style="2" customWidth="1"/>
    <col min="1327" max="1529" width="8.90625" style="2"/>
    <col min="1530" max="1530" width="6.90625" style="2" customWidth="1"/>
    <col min="1531" max="1531" width="9.6328125" style="2" customWidth="1"/>
    <col min="1532" max="1532" width="26.6328125" style="2" customWidth="1"/>
    <col min="1533" max="1533" width="15.90625" style="2" customWidth="1"/>
    <col min="1534" max="1534" width="7.08984375" style="2" bestFit="1" customWidth="1"/>
    <col min="1535" max="1535" width="9.453125" style="2" bestFit="1" customWidth="1"/>
    <col min="1536" max="1536" width="10.6328125" style="2" customWidth="1"/>
    <col min="1537" max="1537" width="6.6328125" style="2" customWidth="1"/>
    <col min="1538" max="1538" width="9.08984375" style="2" customWidth="1"/>
    <col min="1539" max="1539" width="10.6328125" style="2" customWidth="1"/>
    <col min="1540" max="1540" width="7.453125" style="2" customWidth="1"/>
    <col min="1541" max="1541" width="8.6328125" style="2" customWidth="1"/>
    <col min="1542" max="1543" width="10.6328125" style="2" customWidth="1"/>
    <col min="1544" max="1544" width="33.36328125" style="2" customWidth="1"/>
    <col min="1545" max="1582" width="8.90625" style="2" customWidth="1"/>
    <col min="1583" max="1785" width="8.90625" style="2"/>
    <col min="1786" max="1786" width="6.90625" style="2" customWidth="1"/>
    <col min="1787" max="1787" width="9.6328125" style="2" customWidth="1"/>
    <col min="1788" max="1788" width="26.6328125" style="2" customWidth="1"/>
    <col min="1789" max="1789" width="15.90625" style="2" customWidth="1"/>
    <col min="1790" max="1790" width="7.08984375" style="2" bestFit="1" customWidth="1"/>
    <col min="1791" max="1791" width="9.453125" style="2" bestFit="1" customWidth="1"/>
    <col min="1792" max="1792" width="10.6328125" style="2" customWidth="1"/>
    <col min="1793" max="1793" width="6.6328125" style="2" customWidth="1"/>
    <col min="1794" max="1794" width="9.08984375" style="2" customWidth="1"/>
    <col min="1795" max="1795" width="10.6328125" style="2" customWidth="1"/>
    <col min="1796" max="1796" width="7.453125" style="2" customWidth="1"/>
    <col min="1797" max="1797" width="8.6328125" style="2" customWidth="1"/>
    <col min="1798" max="1799" width="10.6328125" style="2" customWidth="1"/>
    <col min="1800" max="1800" width="33.36328125" style="2" customWidth="1"/>
    <col min="1801" max="1838" width="8.90625" style="2" customWidth="1"/>
    <col min="1839" max="2041" width="8.90625" style="2"/>
    <col min="2042" max="2042" width="6.90625" style="2" customWidth="1"/>
    <col min="2043" max="2043" width="9.6328125" style="2" customWidth="1"/>
    <col min="2044" max="2044" width="26.6328125" style="2" customWidth="1"/>
    <col min="2045" max="2045" width="15.90625" style="2" customWidth="1"/>
    <col min="2046" max="2046" width="7.08984375" style="2" bestFit="1" customWidth="1"/>
    <col min="2047" max="2047" width="9.453125" style="2" bestFit="1" customWidth="1"/>
    <col min="2048" max="2048" width="10.6328125" style="2" customWidth="1"/>
    <col min="2049" max="2049" width="6.6328125" style="2" customWidth="1"/>
    <col min="2050" max="2050" width="9.08984375" style="2" customWidth="1"/>
    <col min="2051" max="2051" width="10.6328125" style="2" customWidth="1"/>
    <col min="2052" max="2052" width="7.453125" style="2" customWidth="1"/>
    <col min="2053" max="2053" width="8.6328125" style="2" customWidth="1"/>
    <col min="2054" max="2055" width="10.6328125" style="2" customWidth="1"/>
    <col min="2056" max="2056" width="33.36328125" style="2" customWidth="1"/>
    <col min="2057" max="2094" width="8.90625" style="2" customWidth="1"/>
    <col min="2095" max="2297" width="8.90625" style="2"/>
    <col min="2298" max="2298" width="6.90625" style="2" customWidth="1"/>
    <col min="2299" max="2299" width="9.6328125" style="2" customWidth="1"/>
    <col min="2300" max="2300" width="26.6328125" style="2" customWidth="1"/>
    <col min="2301" max="2301" width="15.90625" style="2" customWidth="1"/>
    <col min="2302" max="2302" width="7.08984375" style="2" bestFit="1" customWidth="1"/>
    <col min="2303" max="2303" width="9.453125" style="2" bestFit="1" customWidth="1"/>
    <col min="2304" max="2304" width="10.6328125" style="2" customWidth="1"/>
    <col min="2305" max="2305" width="6.6328125" style="2" customWidth="1"/>
    <col min="2306" max="2306" width="9.08984375" style="2" customWidth="1"/>
    <col min="2307" max="2307" width="10.6328125" style="2" customWidth="1"/>
    <col min="2308" max="2308" width="7.453125" style="2" customWidth="1"/>
    <col min="2309" max="2309" width="8.6328125" style="2" customWidth="1"/>
    <col min="2310" max="2311" width="10.6328125" style="2" customWidth="1"/>
    <col min="2312" max="2312" width="33.36328125" style="2" customWidth="1"/>
    <col min="2313" max="2350" width="8.90625" style="2" customWidth="1"/>
    <col min="2351" max="2553" width="8.90625" style="2"/>
    <col min="2554" max="2554" width="6.90625" style="2" customWidth="1"/>
    <col min="2555" max="2555" width="9.6328125" style="2" customWidth="1"/>
    <col min="2556" max="2556" width="26.6328125" style="2" customWidth="1"/>
    <col min="2557" max="2557" width="15.90625" style="2" customWidth="1"/>
    <col min="2558" max="2558" width="7.08984375" style="2" bestFit="1" customWidth="1"/>
    <col min="2559" max="2559" width="9.453125" style="2" bestFit="1" customWidth="1"/>
    <col min="2560" max="2560" width="10.6328125" style="2" customWidth="1"/>
    <col min="2561" max="2561" width="6.6328125" style="2" customWidth="1"/>
    <col min="2562" max="2562" width="9.08984375" style="2" customWidth="1"/>
    <col min="2563" max="2563" width="10.6328125" style="2" customWidth="1"/>
    <col min="2564" max="2564" width="7.453125" style="2" customWidth="1"/>
    <col min="2565" max="2565" width="8.6328125" style="2" customWidth="1"/>
    <col min="2566" max="2567" width="10.6328125" style="2" customWidth="1"/>
    <col min="2568" max="2568" width="33.36328125" style="2" customWidth="1"/>
    <col min="2569" max="2606" width="8.90625" style="2" customWidth="1"/>
    <col min="2607" max="2809" width="8.90625" style="2"/>
    <col min="2810" max="2810" width="6.90625" style="2" customWidth="1"/>
    <col min="2811" max="2811" width="9.6328125" style="2" customWidth="1"/>
    <col min="2812" max="2812" width="26.6328125" style="2" customWidth="1"/>
    <col min="2813" max="2813" width="15.90625" style="2" customWidth="1"/>
    <col min="2814" max="2814" width="7.08984375" style="2" bestFit="1" customWidth="1"/>
    <col min="2815" max="2815" width="9.453125" style="2" bestFit="1" customWidth="1"/>
    <col min="2816" max="2816" width="10.6328125" style="2" customWidth="1"/>
    <col min="2817" max="2817" width="6.6328125" style="2" customWidth="1"/>
    <col min="2818" max="2818" width="9.08984375" style="2" customWidth="1"/>
    <col min="2819" max="2819" width="10.6328125" style="2" customWidth="1"/>
    <col min="2820" max="2820" width="7.453125" style="2" customWidth="1"/>
    <col min="2821" max="2821" width="8.6328125" style="2" customWidth="1"/>
    <col min="2822" max="2823" width="10.6328125" style="2" customWidth="1"/>
    <col min="2824" max="2824" width="33.36328125" style="2" customWidth="1"/>
    <col min="2825" max="2862" width="8.90625" style="2" customWidth="1"/>
    <col min="2863" max="3065" width="8.90625" style="2"/>
    <col min="3066" max="3066" width="6.90625" style="2" customWidth="1"/>
    <col min="3067" max="3067" width="9.6328125" style="2" customWidth="1"/>
    <col min="3068" max="3068" width="26.6328125" style="2" customWidth="1"/>
    <col min="3069" max="3069" width="15.90625" style="2" customWidth="1"/>
    <col min="3070" max="3070" width="7.08984375" style="2" bestFit="1" customWidth="1"/>
    <col min="3071" max="3071" width="9.453125" style="2" bestFit="1" customWidth="1"/>
    <col min="3072" max="3072" width="10.6328125" style="2" customWidth="1"/>
    <col min="3073" max="3073" width="6.6328125" style="2" customWidth="1"/>
    <col min="3074" max="3074" width="9.08984375" style="2" customWidth="1"/>
    <col min="3075" max="3075" width="10.6328125" style="2" customWidth="1"/>
    <col min="3076" max="3076" width="7.453125" style="2" customWidth="1"/>
    <col min="3077" max="3077" width="8.6328125" style="2" customWidth="1"/>
    <col min="3078" max="3079" width="10.6328125" style="2" customWidth="1"/>
    <col min="3080" max="3080" width="33.36328125" style="2" customWidth="1"/>
    <col min="3081" max="3118" width="8.90625" style="2" customWidth="1"/>
    <col min="3119" max="3321" width="8.90625" style="2"/>
    <col min="3322" max="3322" width="6.90625" style="2" customWidth="1"/>
    <col min="3323" max="3323" width="9.6328125" style="2" customWidth="1"/>
    <col min="3324" max="3324" width="26.6328125" style="2" customWidth="1"/>
    <col min="3325" max="3325" width="15.90625" style="2" customWidth="1"/>
    <col min="3326" max="3326" width="7.08984375" style="2" bestFit="1" customWidth="1"/>
    <col min="3327" max="3327" width="9.453125" style="2" bestFit="1" customWidth="1"/>
    <col min="3328" max="3328" width="10.6328125" style="2" customWidth="1"/>
    <col min="3329" max="3329" width="6.6328125" style="2" customWidth="1"/>
    <col min="3330" max="3330" width="9.08984375" style="2" customWidth="1"/>
    <col min="3331" max="3331" width="10.6328125" style="2" customWidth="1"/>
    <col min="3332" max="3332" width="7.453125" style="2" customWidth="1"/>
    <col min="3333" max="3333" width="8.6328125" style="2" customWidth="1"/>
    <col min="3334" max="3335" width="10.6328125" style="2" customWidth="1"/>
    <col min="3336" max="3336" width="33.36328125" style="2" customWidth="1"/>
    <col min="3337" max="3374" width="8.90625" style="2" customWidth="1"/>
    <col min="3375" max="3577" width="8.90625" style="2"/>
    <col min="3578" max="3578" width="6.90625" style="2" customWidth="1"/>
    <col min="3579" max="3579" width="9.6328125" style="2" customWidth="1"/>
    <col min="3580" max="3580" width="26.6328125" style="2" customWidth="1"/>
    <col min="3581" max="3581" width="15.90625" style="2" customWidth="1"/>
    <col min="3582" max="3582" width="7.08984375" style="2" bestFit="1" customWidth="1"/>
    <col min="3583" max="3583" width="9.453125" style="2" bestFit="1" customWidth="1"/>
    <col min="3584" max="3584" width="10.6328125" style="2" customWidth="1"/>
    <col min="3585" max="3585" width="6.6328125" style="2" customWidth="1"/>
    <col min="3586" max="3586" width="9.08984375" style="2" customWidth="1"/>
    <col min="3587" max="3587" width="10.6328125" style="2" customWidth="1"/>
    <col min="3588" max="3588" width="7.453125" style="2" customWidth="1"/>
    <col min="3589" max="3589" width="8.6328125" style="2" customWidth="1"/>
    <col min="3590" max="3591" width="10.6328125" style="2" customWidth="1"/>
    <col min="3592" max="3592" width="33.36328125" style="2" customWidth="1"/>
    <col min="3593" max="3630" width="8.90625" style="2" customWidth="1"/>
    <col min="3631" max="3833" width="8.90625" style="2"/>
    <col min="3834" max="3834" width="6.90625" style="2" customWidth="1"/>
    <col min="3835" max="3835" width="9.6328125" style="2" customWidth="1"/>
    <col min="3836" max="3836" width="26.6328125" style="2" customWidth="1"/>
    <col min="3837" max="3837" width="15.90625" style="2" customWidth="1"/>
    <col min="3838" max="3838" width="7.08984375" style="2" bestFit="1" customWidth="1"/>
    <col min="3839" max="3839" width="9.453125" style="2" bestFit="1" customWidth="1"/>
    <col min="3840" max="3840" width="10.6328125" style="2" customWidth="1"/>
    <col min="3841" max="3841" width="6.6328125" style="2" customWidth="1"/>
    <col min="3842" max="3842" width="9.08984375" style="2" customWidth="1"/>
    <col min="3843" max="3843" width="10.6328125" style="2" customWidth="1"/>
    <col min="3844" max="3844" width="7.453125" style="2" customWidth="1"/>
    <col min="3845" max="3845" width="8.6328125" style="2" customWidth="1"/>
    <col min="3846" max="3847" width="10.6328125" style="2" customWidth="1"/>
    <col min="3848" max="3848" width="33.36328125" style="2" customWidth="1"/>
    <col min="3849" max="3886" width="8.90625" style="2" customWidth="1"/>
    <col min="3887" max="4089" width="8.90625" style="2"/>
    <col min="4090" max="4090" width="6.90625" style="2" customWidth="1"/>
    <col min="4091" max="4091" width="9.6328125" style="2" customWidth="1"/>
    <col min="4092" max="4092" width="26.6328125" style="2" customWidth="1"/>
    <col min="4093" max="4093" width="15.90625" style="2" customWidth="1"/>
    <col min="4094" max="4094" width="7.08984375" style="2" bestFit="1" customWidth="1"/>
    <col min="4095" max="4095" width="9.453125" style="2" bestFit="1" customWidth="1"/>
    <col min="4096" max="4096" width="10.6328125" style="2" customWidth="1"/>
    <col min="4097" max="4097" width="6.6328125" style="2" customWidth="1"/>
    <col min="4098" max="4098" width="9.08984375" style="2" customWidth="1"/>
    <col min="4099" max="4099" width="10.6328125" style="2" customWidth="1"/>
    <col min="4100" max="4100" width="7.453125" style="2" customWidth="1"/>
    <col min="4101" max="4101" width="8.6328125" style="2" customWidth="1"/>
    <col min="4102" max="4103" width="10.6328125" style="2" customWidth="1"/>
    <col min="4104" max="4104" width="33.36328125" style="2" customWidth="1"/>
    <col min="4105" max="4142" width="8.90625" style="2" customWidth="1"/>
    <col min="4143" max="4345" width="8.90625" style="2"/>
    <col min="4346" max="4346" width="6.90625" style="2" customWidth="1"/>
    <col min="4347" max="4347" width="9.6328125" style="2" customWidth="1"/>
    <col min="4348" max="4348" width="26.6328125" style="2" customWidth="1"/>
    <col min="4349" max="4349" width="15.90625" style="2" customWidth="1"/>
    <col min="4350" max="4350" width="7.08984375" style="2" bestFit="1" customWidth="1"/>
    <col min="4351" max="4351" width="9.453125" style="2" bestFit="1" customWidth="1"/>
    <col min="4352" max="4352" width="10.6328125" style="2" customWidth="1"/>
    <col min="4353" max="4353" width="6.6328125" style="2" customWidth="1"/>
    <col min="4354" max="4354" width="9.08984375" style="2" customWidth="1"/>
    <col min="4355" max="4355" width="10.6328125" style="2" customWidth="1"/>
    <col min="4356" max="4356" width="7.453125" style="2" customWidth="1"/>
    <col min="4357" max="4357" width="8.6328125" style="2" customWidth="1"/>
    <col min="4358" max="4359" width="10.6328125" style="2" customWidth="1"/>
    <col min="4360" max="4360" width="33.36328125" style="2" customWidth="1"/>
    <col min="4361" max="4398" width="8.90625" style="2" customWidth="1"/>
    <col min="4399" max="4601" width="8.90625" style="2"/>
    <col min="4602" max="4602" width="6.90625" style="2" customWidth="1"/>
    <col min="4603" max="4603" width="9.6328125" style="2" customWidth="1"/>
    <col min="4604" max="4604" width="26.6328125" style="2" customWidth="1"/>
    <col min="4605" max="4605" width="15.90625" style="2" customWidth="1"/>
    <col min="4606" max="4606" width="7.08984375" style="2" bestFit="1" customWidth="1"/>
    <col min="4607" max="4607" width="9.453125" style="2" bestFit="1" customWidth="1"/>
    <col min="4608" max="4608" width="10.6328125" style="2" customWidth="1"/>
    <col min="4609" max="4609" width="6.6328125" style="2" customWidth="1"/>
    <col min="4610" max="4610" width="9.08984375" style="2" customWidth="1"/>
    <col min="4611" max="4611" width="10.6328125" style="2" customWidth="1"/>
    <col min="4612" max="4612" width="7.453125" style="2" customWidth="1"/>
    <col min="4613" max="4613" width="8.6328125" style="2" customWidth="1"/>
    <col min="4614" max="4615" width="10.6328125" style="2" customWidth="1"/>
    <col min="4616" max="4616" width="33.36328125" style="2" customWidth="1"/>
    <col min="4617" max="4654" width="8.90625" style="2" customWidth="1"/>
    <col min="4655" max="4857" width="8.90625" style="2"/>
    <col min="4858" max="4858" width="6.90625" style="2" customWidth="1"/>
    <col min="4859" max="4859" width="9.6328125" style="2" customWidth="1"/>
    <col min="4860" max="4860" width="26.6328125" style="2" customWidth="1"/>
    <col min="4861" max="4861" width="15.90625" style="2" customWidth="1"/>
    <col min="4862" max="4862" width="7.08984375" style="2" bestFit="1" customWidth="1"/>
    <col min="4863" max="4863" width="9.453125" style="2" bestFit="1" customWidth="1"/>
    <col min="4864" max="4864" width="10.6328125" style="2" customWidth="1"/>
    <col min="4865" max="4865" width="6.6328125" style="2" customWidth="1"/>
    <col min="4866" max="4866" width="9.08984375" style="2" customWidth="1"/>
    <col min="4867" max="4867" width="10.6328125" style="2" customWidth="1"/>
    <col min="4868" max="4868" width="7.453125" style="2" customWidth="1"/>
    <col min="4869" max="4869" width="8.6328125" style="2" customWidth="1"/>
    <col min="4870" max="4871" width="10.6328125" style="2" customWidth="1"/>
    <col min="4872" max="4872" width="33.36328125" style="2" customWidth="1"/>
    <col min="4873" max="4910" width="8.90625" style="2" customWidth="1"/>
    <col min="4911" max="5113" width="8.90625" style="2"/>
    <col min="5114" max="5114" width="6.90625" style="2" customWidth="1"/>
    <col min="5115" max="5115" width="9.6328125" style="2" customWidth="1"/>
    <col min="5116" max="5116" width="26.6328125" style="2" customWidth="1"/>
    <col min="5117" max="5117" width="15.90625" style="2" customWidth="1"/>
    <col min="5118" max="5118" width="7.08984375" style="2" bestFit="1" customWidth="1"/>
    <col min="5119" max="5119" width="9.453125" style="2" bestFit="1" customWidth="1"/>
    <col min="5120" max="5120" width="10.6328125" style="2" customWidth="1"/>
    <col min="5121" max="5121" width="6.6328125" style="2" customWidth="1"/>
    <col min="5122" max="5122" width="9.08984375" style="2" customWidth="1"/>
    <col min="5123" max="5123" width="10.6328125" style="2" customWidth="1"/>
    <col min="5124" max="5124" width="7.453125" style="2" customWidth="1"/>
    <col min="5125" max="5125" width="8.6328125" style="2" customWidth="1"/>
    <col min="5126" max="5127" width="10.6328125" style="2" customWidth="1"/>
    <col min="5128" max="5128" width="33.36328125" style="2" customWidth="1"/>
    <col min="5129" max="5166" width="8.90625" style="2" customWidth="1"/>
    <col min="5167" max="5369" width="8.90625" style="2"/>
    <col min="5370" max="5370" width="6.90625" style="2" customWidth="1"/>
    <col min="5371" max="5371" width="9.6328125" style="2" customWidth="1"/>
    <col min="5372" max="5372" width="26.6328125" style="2" customWidth="1"/>
    <col min="5373" max="5373" width="15.90625" style="2" customWidth="1"/>
    <col min="5374" max="5374" width="7.08984375" style="2" bestFit="1" customWidth="1"/>
    <col min="5375" max="5375" width="9.453125" style="2" bestFit="1" customWidth="1"/>
    <col min="5376" max="5376" width="10.6328125" style="2" customWidth="1"/>
    <col min="5377" max="5377" width="6.6328125" style="2" customWidth="1"/>
    <col min="5378" max="5378" width="9.08984375" style="2" customWidth="1"/>
    <col min="5379" max="5379" width="10.6328125" style="2" customWidth="1"/>
    <col min="5380" max="5380" width="7.453125" style="2" customWidth="1"/>
    <col min="5381" max="5381" width="8.6328125" style="2" customWidth="1"/>
    <col min="5382" max="5383" width="10.6328125" style="2" customWidth="1"/>
    <col min="5384" max="5384" width="33.36328125" style="2" customWidth="1"/>
    <col min="5385" max="5422" width="8.90625" style="2" customWidth="1"/>
    <col min="5423" max="5625" width="8.90625" style="2"/>
    <col min="5626" max="5626" width="6.90625" style="2" customWidth="1"/>
    <col min="5627" max="5627" width="9.6328125" style="2" customWidth="1"/>
    <col min="5628" max="5628" width="26.6328125" style="2" customWidth="1"/>
    <col min="5629" max="5629" width="15.90625" style="2" customWidth="1"/>
    <col min="5630" max="5630" width="7.08984375" style="2" bestFit="1" customWidth="1"/>
    <col min="5631" max="5631" width="9.453125" style="2" bestFit="1" customWidth="1"/>
    <col min="5632" max="5632" width="10.6328125" style="2" customWidth="1"/>
    <col min="5633" max="5633" width="6.6328125" style="2" customWidth="1"/>
    <col min="5634" max="5634" width="9.08984375" style="2" customWidth="1"/>
    <col min="5635" max="5635" width="10.6328125" style="2" customWidth="1"/>
    <col min="5636" max="5636" width="7.453125" style="2" customWidth="1"/>
    <col min="5637" max="5637" width="8.6328125" style="2" customWidth="1"/>
    <col min="5638" max="5639" width="10.6328125" style="2" customWidth="1"/>
    <col min="5640" max="5640" width="33.36328125" style="2" customWidth="1"/>
    <col min="5641" max="5678" width="8.90625" style="2" customWidth="1"/>
    <col min="5679" max="5881" width="8.90625" style="2"/>
    <col min="5882" max="5882" width="6.90625" style="2" customWidth="1"/>
    <col min="5883" max="5883" width="9.6328125" style="2" customWidth="1"/>
    <col min="5884" max="5884" width="26.6328125" style="2" customWidth="1"/>
    <col min="5885" max="5885" width="15.90625" style="2" customWidth="1"/>
    <col min="5886" max="5886" width="7.08984375" style="2" bestFit="1" customWidth="1"/>
    <col min="5887" max="5887" width="9.453125" style="2" bestFit="1" customWidth="1"/>
    <col min="5888" max="5888" width="10.6328125" style="2" customWidth="1"/>
    <col min="5889" max="5889" width="6.6328125" style="2" customWidth="1"/>
    <col min="5890" max="5890" width="9.08984375" style="2" customWidth="1"/>
    <col min="5891" max="5891" width="10.6328125" style="2" customWidth="1"/>
    <col min="5892" max="5892" width="7.453125" style="2" customWidth="1"/>
    <col min="5893" max="5893" width="8.6328125" style="2" customWidth="1"/>
    <col min="5894" max="5895" width="10.6328125" style="2" customWidth="1"/>
    <col min="5896" max="5896" width="33.36328125" style="2" customWidth="1"/>
    <col min="5897" max="5934" width="8.90625" style="2" customWidth="1"/>
    <col min="5935" max="6137" width="8.90625" style="2"/>
    <col min="6138" max="6138" width="6.90625" style="2" customWidth="1"/>
    <col min="6139" max="6139" width="9.6328125" style="2" customWidth="1"/>
    <col min="6140" max="6140" width="26.6328125" style="2" customWidth="1"/>
    <col min="6141" max="6141" width="15.90625" style="2" customWidth="1"/>
    <col min="6142" max="6142" width="7.08984375" style="2" bestFit="1" customWidth="1"/>
    <col min="6143" max="6143" width="9.453125" style="2" bestFit="1" customWidth="1"/>
    <col min="6144" max="6144" width="10.6328125" style="2" customWidth="1"/>
    <col min="6145" max="6145" width="6.6328125" style="2" customWidth="1"/>
    <col min="6146" max="6146" width="9.08984375" style="2" customWidth="1"/>
    <col min="6147" max="6147" width="10.6328125" style="2" customWidth="1"/>
    <col min="6148" max="6148" width="7.453125" style="2" customWidth="1"/>
    <col min="6149" max="6149" width="8.6328125" style="2" customWidth="1"/>
    <col min="6150" max="6151" width="10.6328125" style="2" customWidth="1"/>
    <col min="6152" max="6152" width="33.36328125" style="2" customWidth="1"/>
    <col min="6153" max="6190" width="8.90625" style="2" customWidth="1"/>
    <col min="6191" max="6393" width="8.90625" style="2"/>
    <col min="6394" max="6394" width="6.90625" style="2" customWidth="1"/>
    <col min="6395" max="6395" width="9.6328125" style="2" customWidth="1"/>
    <col min="6396" max="6396" width="26.6328125" style="2" customWidth="1"/>
    <col min="6397" max="6397" width="15.90625" style="2" customWidth="1"/>
    <col min="6398" max="6398" width="7.08984375" style="2" bestFit="1" customWidth="1"/>
    <col min="6399" max="6399" width="9.453125" style="2" bestFit="1" customWidth="1"/>
    <col min="6400" max="6400" width="10.6328125" style="2" customWidth="1"/>
    <col min="6401" max="6401" width="6.6328125" style="2" customWidth="1"/>
    <col min="6402" max="6402" width="9.08984375" style="2" customWidth="1"/>
    <col min="6403" max="6403" width="10.6328125" style="2" customWidth="1"/>
    <col min="6404" max="6404" width="7.453125" style="2" customWidth="1"/>
    <col min="6405" max="6405" width="8.6328125" style="2" customWidth="1"/>
    <col min="6406" max="6407" width="10.6328125" style="2" customWidth="1"/>
    <col min="6408" max="6408" width="33.36328125" style="2" customWidth="1"/>
    <col min="6409" max="6446" width="8.90625" style="2" customWidth="1"/>
    <col min="6447" max="6649" width="8.90625" style="2"/>
    <col min="6650" max="6650" width="6.90625" style="2" customWidth="1"/>
    <col min="6651" max="6651" width="9.6328125" style="2" customWidth="1"/>
    <col min="6652" max="6652" width="26.6328125" style="2" customWidth="1"/>
    <col min="6653" max="6653" width="15.90625" style="2" customWidth="1"/>
    <col min="6654" max="6654" width="7.08984375" style="2" bestFit="1" customWidth="1"/>
    <col min="6655" max="6655" width="9.453125" style="2" bestFit="1" customWidth="1"/>
    <col min="6656" max="6656" width="10.6328125" style="2" customWidth="1"/>
    <col min="6657" max="6657" width="6.6328125" style="2" customWidth="1"/>
    <col min="6658" max="6658" width="9.08984375" style="2" customWidth="1"/>
    <col min="6659" max="6659" width="10.6328125" style="2" customWidth="1"/>
    <col min="6660" max="6660" width="7.453125" style="2" customWidth="1"/>
    <col min="6661" max="6661" width="8.6328125" style="2" customWidth="1"/>
    <col min="6662" max="6663" width="10.6328125" style="2" customWidth="1"/>
    <col min="6664" max="6664" width="33.36328125" style="2" customWidth="1"/>
    <col min="6665" max="6702" width="8.90625" style="2" customWidth="1"/>
    <col min="6703" max="6905" width="8.90625" style="2"/>
    <col min="6906" max="6906" width="6.90625" style="2" customWidth="1"/>
    <col min="6907" max="6907" width="9.6328125" style="2" customWidth="1"/>
    <col min="6908" max="6908" width="26.6328125" style="2" customWidth="1"/>
    <col min="6909" max="6909" width="15.90625" style="2" customWidth="1"/>
    <col min="6910" max="6910" width="7.08984375" style="2" bestFit="1" customWidth="1"/>
    <col min="6911" max="6911" width="9.453125" style="2" bestFit="1" customWidth="1"/>
    <col min="6912" max="6912" width="10.6328125" style="2" customWidth="1"/>
    <col min="6913" max="6913" width="6.6328125" style="2" customWidth="1"/>
    <col min="6914" max="6914" width="9.08984375" style="2" customWidth="1"/>
    <col min="6915" max="6915" width="10.6328125" style="2" customWidth="1"/>
    <col min="6916" max="6916" width="7.453125" style="2" customWidth="1"/>
    <col min="6917" max="6917" width="8.6328125" style="2" customWidth="1"/>
    <col min="6918" max="6919" width="10.6328125" style="2" customWidth="1"/>
    <col min="6920" max="6920" width="33.36328125" style="2" customWidth="1"/>
    <col min="6921" max="6958" width="8.90625" style="2" customWidth="1"/>
    <col min="6959" max="7161" width="8.90625" style="2"/>
    <col min="7162" max="7162" width="6.90625" style="2" customWidth="1"/>
    <col min="7163" max="7163" width="9.6328125" style="2" customWidth="1"/>
    <col min="7164" max="7164" width="26.6328125" style="2" customWidth="1"/>
    <col min="7165" max="7165" width="15.90625" style="2" customWidth="1"/>
    <col min="7166" max="7166" width="7.08984375" style="2" bestFit="1" customWidth="1"/>
    <col min="7167" max="7167" width="9.453125" style="2" bestFit="1" customWidth="1"/>
    <col min="7168" max="7168" width="10.6328125" style="2" customWidth="1"/>
    <col min="7169" max="7169" width="6.6328125" style="2" customWidth="1"/>
    <col min="7170" max="7170" width="9.08984375" style="2" customWidth="1"/>
    <col min="7171" max="7171" width="10.6328125" style="2" customWidth="1"/>
    <col min="7172" max="7172" width="7.453125" style="2" customWidth="1"/>
    <col min="7173" max="7173" width="8.6328125" style="2" customWidth="1"/>
    <col min="7174" max="7175" width="10.6328125" style="2" customWidth="1"/>
    <col min="7176" max="7176" width="33.36328125" style="2" customWidth="1"/>
    <col min="7177" max="7214" width="8.90625" style="2" customWidth="1"/>
    <col min="7215" max="7417" width="8.90625" style="2"/>
    <col min="7418" max="7418" width="6.90625" style="2" customWidth="1"/>
    <col min="7419" max="7419" width="9.6328125" style="2" customWidth="1"/>
    <col min="7420" max="7420" width="26.6328125" style="2" customWidth="1"/>
    <col min="7421" max="7421" width="15.90625" style="2" customWidth="1"/>
    <col min="7422" max="7422" width="7.08984375" style="2" bestFit="1" customWidth="1"/>
    <col min="7423" max="7423" width="9.453125" style="2" bestFit="1" customWidth="1"/>
    <col min="7424" max="7424" width="10.6328125" style="2" customWidth="1"/>
    <col min="7425" max="7425" width="6.6328125" style="2" customWidth="1"/>
    <col min="7426" max="7426" width="9.08984375" style="2" customWidth="1"/>
    <col min="7427" max="7427" width="10.6328125" style="2" customWidth="1"/>
    <col min="7428" max="7428" width="7.453125" style="2" customWidth="1"/>
    <col min="7429" max="7429" width="8.6328125" style="2" customWidth="1"/>
    <col min="7430" max="7431" width="10.6328125" style="2" customWidth="1"/>
    <col min="7432" max="7432" width="33.36328125" style="2" customWidth="1"/>
    <col min="7433" max="7470" width="8.90625" style="2" customWidth="1"/>
    <col min="7471" max="7673" width="8.90625" style="2"/>
    <col min="7674" max="7674" width="6.90625" style="2" customWidth="1"/>
    <col min="7675" max="7675" width="9.6328125" style="2" customWidth="1"/>
    <col min="7676" max="7676" width="26.6328125" style="2" customWidth="1"/>
    <col min="7677" max="7677" width="15.90625" style="2" customWidth="1"/>
    <col min="7678" max="7678" width="7.08984375" style="2" bestFit="1" customWidth="1"/>
    <col min="7679" max="7679" width="9.453125" style="2" bestFit="1" customWidth="1"/>
    <col min="7680" max="7680" width="10.6328125" style="2" customWidth="1"/>
    <col min="7681" max="7681" width="6.6328125" style="2" customWidth="1"/>
    <col min="7682" max="7682" width="9.08984375" style="2" customWidth="1"/>
    <col min="7683" max="7683" width="10.6328125" style="2" customWidth="1"/>
    <col min="7684" max="7684" width="7.453125" style="2" customWidth="1"/>
    <col min="7685" max="7685" width="8.6328125" style="2" customWidth="1"/>
    <col min="7686" max="7687" width="10.6328125" style="2" customWidth="1"/>
    <col min="7688" max="7688" width="33.36328125" style="2" customWidth="1"/>
    <col min="7689" max="7726" width="8.90625" style="2" customWidth="1"/>
    <col min="7727" max="7929" width="8.90625" style="2"/>
    <col min="7930" max="7930" width="6.90625" style="2" customWidth="1"/>
    <col min="7931" max="7931" width="9.6328125" style="2" customWidth="1"/>
    <col min="7932" max="7932" width="26.6328125" style="2" customWidth="1"/>
    <col min="7933" max="7933" width="15.90625" style="2" customWidth="1"/>
    <col min="7934" max="7934" width="7.08984375" style="2" bestFit="1" customWidth="1"/>
    <col min="7935" max="7935" width="9.453125" style="2" bestFit="1" customWidth="1"/>
    <col min="7936" max="7936" width="10.6328125" style="2" customWidth="1"/>
    <col min="7937" max="7937" width="6.6328125" style="2" customWidth="1"/>
    <col min="7938" max="7938" width="9.08984375" style="2" customWidth="1"/>
    <col min="7939" max="7939" width="10.6328125" style="2" customWidth="1"/>
    <col min="7940" max="7940" width="7.453125" style="2" customWidth="1"/>
    <col min="7941" max="7941" width="8.6328125" style="2" customWidth="1"/>
    <col min="7942" max="7943" width="10.6328125" style="2" customWidth="1"/>
    <col min="7944" max="7944" width="33.36328125" style="2" customWidth="1"/>
    <col min="7945" max="7982" width="8.90625" style="2" customWidth="1"/>
    <col min="7983" max="8185" width="8.90625" style="2"/>
    <col min="8186" max="8186" width="6.90625" style="2" customWidth="1"/>
    <col min="8187" max="8187" width="9.6328125" style="2" customWidth="1"/>
    <col min="8188" max="8188" width="26.6328125" style="2" customWidth="1"/>
    <col min="8189" max="8189" width="15.90625" style="2" customWidth="1"/>
    <col min="8190" max="8190" width="7.08984375" style="2" bestFit="1" customWidth="1"/>
    <col min="8191" max="8191" width="9.453125" style="2" bestFit="1" customWidth="1"/>
    <col min="8192" max="8192" width="10.6328125" style="2" customWidth="1"/>
    <col min="8193" max="8193" width="6.6328125" style="2" customWidth="1"/>
    <col min="8194" max="8194" width="9.08984375" style="2" customWidth="1"/>
    <col min="8195" max="8195" width="10.6328125" style="2" customWidth="1"/>
    <col min="8196" max="8196" width="7.453125" style="2" customWidth="1"/>
    <col min="8197" max="8197" width="8.6328125" style="2" customWidth="1"/>
    <col min="8198" max="8199" width="10.6328125" style="2" customWidth="1"/>
    <col min="8200" max="8200" width="33.36328125" style="2" customWidth="1"/>
    <col min="8201" max="8238" width="8.90625" style="2" customWidth="1"/>
    <col min="8239" max="8441" width="8.90625" style="2"/>
    <col min="8442" max="8442" width="6.90625" style="2" customWidth="1"/>
    <col min="8443" max="8443" width="9.6328125" style="2" customWidth="1"/>
    <col min="8444" max="8444" width="26.6328125" style="2" customWidth="1"/>
    <col min="8445" max="8445" width="15.90625" style="2" customWidth="1"/>
    <col min="8446" max="8446" width="7.08984375" style="2" bestFit="1" customWidth="1"/>
    <col min="8447" max="8447" width="9.453125" style="2" bestFit="1" customWidth="1"/>
    <col min="8448" max="8448" width="10.6328125" style="2" customWidth="1"/>
    <col min="8449" max="8449" width="6.6328125" style="2" customWidth="1"/>
    <col min="8450" max="8450" width="9.08984375" style="2" customWidth="1"/>
    <col min="8451" max="8451" width="10.6328125" style="2" customWidth="1"/>
    <col min="8452" max="8452" width="7.453125" style="2" customWidth="1"/>
    <col min="8453" max="8453" width="8.6328125" style="2" customWidth="1"/>
    <col min="8454" max="8455" width="10.6328125" style="2" customWidth="1"/>
    <col min="8456" max="8456" width="33.36328125" style="2" customWidth="1"/>
    <col min="8457" max="8494" width="8.90625" style="2" customWidth="1"/>
    <col min="8495" max="8697" width="8.90625" style="2"/>
    <col min="8698" max="8698" width="6.90625" style="2" customWidth="1"/>
    <col min="8699" max="8699" width="9.6328125" style="2" customWidth="1"/>
    <col min="8700" max="8700" width="26.6328125" style="2" customWidth="1"/>
    <col min="8701" max="8701" width="15.90625" style="2" customWidth="1"/>
    <col min="8702" max="8702" width="7.08984375" style="2" bestFit="1" customWidth="1"/>
    <col min="8703" max="8703" width="9.453125" style="2" bestFit="1" customWidth="1"/>
    <col min="8704" max="8704" width="10.6328125" style="2" customWidth="1"/>
    <col min="8705" max="8705" width="6.6328125" style="2" customWidth="1"/>
    <col min="8706" max="8706" width="9.08984375" style="2" customWidth="1"/>
    <col min="8707" max="8707" width="10.6328125" style="2" customWidth="1"/>
    <col min="8708" max="8708" width="7.453125" style="2" customWidth="1"/>
    <col min="8709" max="8709" width="8.6328125" style="2" customWidth="1"/>
    <col min="8710" max="8711" width="10.6328125" style="2" customWidth="1"/>
    <col min="8712" max="8712" width="33.36328125" style="2" customWidth="1"/>
    <col min="8713" max="8750" width="8.90625" style="2" customWidth="1"/>
    <col min="8751" max="8953" width="8.90625" style="2"/>
    <col min="8954" max="8954" width="6.90625" style="2" customWidth="1"/>
    <col min="8955" max="8955" width="9.6328125" style="2" customWidth="1"/>
    <col min="8956" max="8956" width="26.6328125" style="2" customWidth="1"/>
    <col min="8957" max="8957" width="15.90625" style="2" customWidth="1"/>
    <col min="8958" max="8958" width="7.08984375" style="2" bestFit="1" customWidth="1"/>
    <col min="8959" max="8959" width="9.453125" style="2" bestFit="1" customWidth="1"/>
    <col min="8960" max="8960" width="10.6328125" style="2" customWidth="1"/>
    <col min="8961" max="8961" width="6.6328125" style="2" customWidth="1"/>
    <col min="8962" max="8962" width="9.08984375" style="2" customWidth="1"/>
    <col min="8963" max="8963" width="10.6328125" style="2" customWidth="1"/>
    <col min="8964" max="8964" width="7.453125" style="2" customWidth="1"/>
    <col min="8965" max="8965" width="8.6328125" style="2" customWidth="1"/>
    <col min="8966" max="8967" width="10.6328125" style="2" customWidth="1"/>
    <col min="8968" max="8968" width="33.36328125" style="2" customWidth="1"/>
    <col min="8969" max="9006" width="8.90625" style="2" customWidth="1"/>
    <col min="9007" max="9209" width="8.90625" style="2"/>
    <col min="9210" max="9210" width="6.90625" style="2" customWidth="1"/>
    <col min="9211" max="9211" width="9.6328125" style="2" customWidth="1"/>
    <col min="9212" max="9212" width="26.6328125" style="2" customWidth="1"/>
    <col min="9213" max="9213" width="15.90625" style="2" customWidth="1"/>
    <col min="9214" max="9214" width="7.08984375" style="2" bestFit="1" customWidth="1"/>
    <col min="9215" max="9215" width="9.453125" style="2" bestFit="1" customWidth="1"/>
    <col min="9216" max="9216" width="10.6328125" style="2" customWidth="1"/>
    <col min="9217" max="9217" width="6.6328125" style="2" customWidth="1"/>
    <col min="9218" max="9218" width="9.08984375" style="2" customWidth="1"/>
    <col min="9219" max="9219" width="10.6328125" style="2" customWidth="1"/>
    <col min="9220" max="9220" width="7.453125" style="2" customWidth="1"/>
    <col min="9221" max="9221" width="8.6328125" style="2" customWidth="1"/>
    <col min="9222" max="9223" width="10.6328125" style="2" customWidth="1"/>
    <col min="9224" max="9224" width="33.36328125" style="2" customWidth="1"/>
    <col min="9225" max="9262" width="8.90625" style="2" customWidth="1"/>
    <col min="9263" max="9465" width="8.90625" style="2"/>
    <col min="9466" max="9466" width="6.90625" style="2" customWidth="1"/>
    <col min="9467" max="9467" width="9.6328125" style="2" customWidth="1"/>
    <col min="9468" max="9468" width="26.6328125" style="2" customWidth="1"/>
    <col min="9469" max="9469" width="15.90625" style="2" customWidth="1"/>
    <col min="9470" max="9470" width="7.08984375" style="2" bestFit="1" customWidth="1"/>
    <col min="9471" max="9471" width="9.453125" style="2" bestFit="1" customWidth="1"/>
    <col min="9472" max="9472" width="10.6328125" style="2" customWidth="1"/>
    <col min="9473" max="9473" width="6.6328125" style="2" customWidth="1"/>
    <col min="9474" max="9474" width="9.08984375" style="2" customWidth="1"/>
    <col min="9475" max="9475" width="10.6328125" style="2" customWidth="1"/>
    <col min="9476" max="9476" width="7.453125" style="2" customWidth="1"/>
    <col min="9477" max="9477" width="8.6328125" style="2" customWidth="1"/>
    <col min="9478" max="9479" width="10.6328125" style="2" customWidth="1"/>
    <col min="9480" max="9480" width="33.36328125" style="2" customWidth="1"/>
    <col min="9481" max="9518" width="8.90625" style="2" customWidth="1"/>
    <col min="9519" max="9721" width="8.90625" style="2"/>
    <col min="9722" max="9722" width="6.90625" style="2" customWidth="1"/>
    <col min="9723" max="9723" width="9.6328125" style="2" customWidth="1"/>
    <col min="9724" max="9724" width="26.6328125" style="2" customWidth="1"/>
    <col min="9725" max="9725" width="15.90625" style="2" customWidth="1"/>
    <col min="9726" max="9726" width="7.08984375" style="2" bestFit="1" customWidth="1"/>
    <col min="9727" max="9727" width="9.453125" style="2" bestFit="1" customWidth="1"/>
    <col min="9728" max="9728" width="10.6328125" style="2" customWidth="1"/>
    <col min="9729" max="9729" width="6.6328125" style="2" customWidth="1"/>
    <col min="9730" max="9730" width="9.08984375" style="2" customWidth="1"/>
    <col min="9731" max="9731" width="10.6328125" style="2" customWidth="1"/>
    <col min="9732" max="9732" width="7.453125" style="2" customWidth="1"/>
    <col min="9733" max="9733" width="8.6328125" style="2" customWidth="1"/>
    <col min="9734" max="9735" width="10.6328125" style="2" customWidth="1"/>
    <col min="9736" max="9736" width="33.36328125" style="2" customWidth="1"/>
    <col min="9737" max="9774" width="8.90625" style="2" customWidth="1"/>
    <col min="9775" max="9977" width="8.90625" style="2"/>
    <col min="9978" max="9978" width="6.90625" style="2" customWidth="1"/>
    <col min="9979" max="9979" width="9.6328125" style="2" customWidth="1"/>
    <col min="9980" max="9980" width="26.6328125" style="2" customWidth="1"/>
    <col min="9981" max="9981" width="15.90625" style="2" customWidth="1"/>
    <col min="9982" max="9982" width="7.08984375" style="2" bestFit="1" customWidth="1"/>
    <col min="9983" max="9983" width="9.453125" style="2" bestFit="1" customWidth="1"/>
    <col min="9984" max="9984" width="10.6328125" style="2" customWidth="1"/>
    <col min="9985" max="9985" width="6.6328125" style="2" customWidth="1"/>
    <col min="9986" max="9986" width="9.08984375" style="2" customWidth="1"/>
    <col min="9987" max="9987" width="10.6328125" style="2" customWidth="1"/>
    <col min="9988" max="9988" width="7.453125" style="2" customWidth="1"/>
    <col min="9989" max="9989" width="8.6328125" style="2" customWidth="1"/>
    <col min="9990" max="9991" width="10.6328125" style="2" customWidth="1"/>
    <col min="9992" max="9992" width="33.36328125" style="2" customWidth="1"/>
    <col min="9993" max="10030" width="8.90625" style="2" customWidth="1"/>
    <col min="10031" max="10233" width="8.90625" style="2"/>
    <col min="10234" max="10234" width="6.90625" style="2" customWidth="1"/>
    <col min="10235" max="10235" width="9.6328125" style="2" customWidth="1"/>
    <col min="10236" max="10236" width="26.6328125" style="2" customWidth="1"/>
    <col min="10237" max="10237" width="15.90625" style="2" customWidth="1"/>
    <col min="10238" max="10238" width="7.08984375" style="2" bestFit="1" customWidth="1"/>
    <col min="10239" max="10239" width="9.453125" style="2" bestFit="1" customWidth="1"/>
    <col min="10240" max="10240" width="10.6328125" style="2" customWidth="1"/>
    <col min="10241" max="10241" width="6.6328125" style="2" customWidth="1"/>
    <col min="10242" max="10242" width="9.08984375" style="2" customWidth="1"/>
    <col min="10243" max="10243" width="10.6328125" style="2" customWidth="1"/>
    <col min="10244" max="10244" width="7.453125" style="2" customWidth="1"/>
    <col min="10245" max="10245" width="8.6328125" style="2" customWidth="1"/>
    <col min="10246" max="10247" width="10.6328125" style="2" customWidth="1"/>
    <col min="10248" max="10248" width="33.36328125" style="2" customWidth="1"/>
    <col min="10249" max="10286" width="8.90625" style="2" customWidth="1"/>
    <col min="10287" max="10489" width="8.90625" style="2"/>
    <col min="10490" max="10490" width="6.90625" style="2" customWidth="1"/>
    <col min="10491" max="10491" width="9.6328125" style="2" customWidth="1"/>
    <col min="10492" max="10492" width="26.6328125" style="2" customWidth="1"/>
    <col min="10493" max="10493" width="15.90625" style="2" customWidth="1"/>
    <col min="10494" max="10494" width="7.08984375" style="2" bestFit="1" customWidth="1"/>
    <col min="10495" max="10495" width="9.453125" style="2" bestFit="1" customWidth="1"/>
    <col min="10496" max="10496" width="10.6328125" style="2" customWidth="1"/>
    <col min="10497" max="10497" width="6.6328125" style="2" customWidth="1"/>
    <col min="10498" max="10498" width="9.08984375" style="2" customWidth="1"/>
    <col min="10499" max="10499" width="10.6328125" style="2" customWidth="1"/>
    <col min="10500" max="10500" width="7.453125" style="2" customWidth="1"/>
    <col min="10501" max="10501" width="8.6328125" style="2" customWidth="1"/>
    <col min="10502" max="10503" width="10.6328125" style="2" customWidth="1"/>
    <col min="10504" max="10504" width="33.36328125" style="2" customWidth="1"/>
    <col min="10505" max="10542" width="8.90625" style="2" customWidth="1"/>
    <col min="10543" max="10745" width="8.90625" style="2"/>
    <col min="10746" max="10746" width="6.90625" style="2" customWidth="1"/>
    <col min="10747" max="10747" width="9.6328125" style="2" customWidth="1"/>
    <col min="10748" max="10748" width="26.6328125" style="2" customWidth="1"/>
    <col min="10749" max="10749" width="15.90625" style="2" customWidth="1"/>
    <col min="10750" max="10750" width="7.08984375" style="2" bestFit="1" customWidth="1"/>
    <col min="10751" max="10751" width="9.453125" style="2" bestFit="1" customWidth="1"/>
    <col min="10752" max="10752" width="10.6328125" style="2" customWidth="1"/>
    <col min="10753" max="10753" width="6.6328125" style="2" customWidth="1"/>
    <col min="10754" max="10754" width="9.08984375" style="2" customWidth="1"/>
    <col min="10755" max="10755" width="10.6328125" style="2" customWidth="1"/>
    <col min="10756" max="10756" width="7.453125" style="2" customWidth="1"/>
    <col min="10757" max="10757" width="8.6328125" style="2" customWidth="1"/>
    <col min="10758" max="10759" width="10.6328125" style="2" customWidth="1"/>
    <col min="10760" max="10760" width="33.36328125" style="2" customWidth="1"/>
    <col min="10761" max="10798" width="8.90625" style="2" customWidth="1"/>
    <col min="10799" max="11001" width="8.90625" style="2"/>
    <col min="11002" max="11002" width="6.90625" style="2" customWidth="1"/>
    <col min="11003" max="11003" width="9.6328125" style="2" customWidth="1"/>
    <col min="11004" max="11004" width="26.6328125" style="2" customWidth="1"/>
    <col min="11005" max="11005" width="15.90625" style="2" customWidth="1"/>
    <col min="11006" max="11006" width="7.08984375" style="2" bestFit="1" customWidth="1"/>
    <col min="11007" max="11007" width="9.453125" style="2" bestFit="1" customWidth="1"/>
    <col min="11008" max="11008" width="10.6328125" style="2" customWidth="1"/>
    <col min="11009" max="11009" width="6.6328125" style="2" customWidth="1"/>
    <col min="11010" max="11010" width="9.08984375" style="2" customWidth="1"/>
    <col min="11011" max="11011" width="10.6328125" style="2" customWidth="1"/>
    <col min="11012" max="11012" width="7.453125" style="2" customWidth="1"/>
    <col min="11013" max="11013" width="8.6328125" style="2" customWidth="1"/>
    <col min="11014" max="11015" width="10.6328125" style="2" customWidth="1"/>
    <col min="11016" max="11016" width="33.36328125" style="2" customWidth="1"/>
    <col min="11017" max="11054" width="8.90625" style="2" customWidth="1"/>
    <col min="11055" max="11257" width="8.90625" style="2"/>
    <col min="11258" max="11258" width="6.90625" style="2" customWidth="1"/>
    <col min="11259" max="11259" width="9.6328125" style="2" customWidth="1"/>
    <col min="11260" max="11260" width="26.6328125" style="2" customWidth="1"/>
    <col min="11261" max="11261" width="15.90625" style="2" customWidth="1"/>
    <col min="11262" max="11262" width="7.08984375" style="2" bestFit="1" customWidth="1"/>
    <col min="11263" max="11263" width="9.453125" style="2" bestFit="1" customWidth="1"/>
    <col min="11264" max="11264" width="10.6328125" style="2" customWidth="1"/>
    <col min="11265" max="11265" width="6.6328125" style="2" customWidth="1"/>
    <col min="11266" max="11266" width="9.08984375" style="2" customWidth="1"/>
    <col min="11267" max="11267" width="10.6328125" style="2" customWidth="1"/>
    <col min="11268" max="11268" width="7.453125" style="2" customWidth="1"/>
    <col min="11269" max="11269" width="8.6328125" style="2" customWidth="1"/>
    <col min="11270" max="11271" width="10.6328125" style="2" customWidth="1"/>
    <col min="11272" max="11272" width="33.36328125" style="2" customWidth="1"/>
    <col min="11273" max="11310" width="8.90625" style="2" customWidth="1"/>
    <col min="11311" max="11513" width="8.90625" style="2"/>
    <col min="11514" max="11514" width="6.90625" style="2" customWidth="1"/>
    <col min="11515" max="11515" width="9.6328125" style="2" customWidth="1"/>
    <col min="11516" max="11516" width="26.6328125" style="2" customWidth="1"/>
    <col min="11517" max="11517" width="15.90625" style="2" customWidth="1"/>
    <col min="11518" max="11518" width="7.08984375" style="2" bestFit="1" customWidth="1"/>
    <col min="11519" max="11519" width="9.453125" style="2" bestFit="1" customWidth="1"/>
    <col min="11520" max="11520" width="10.6328125" style="2" customWidth="1"/>
    <col min="11521" max="11521" width="6.6328125" style="2" customWidth="1"/>
    <col min="11522" max="11522" width="9.08984375" style="2" customWidth="1"/>
    <col min="11523" max="11523" width="10.6328125" style="2" customWidth="1"/>
    <col min="11524" max="11524" width="7.453125" style="2" customWidth="1"/>
    <col min="11525" max="11525" width="8.6328125" style="2" customWidth="1"/>
    <col min="11526" max="11527" width="10.6328125" style="2" customWidth="1"/>
    <col min="11528" max="11528" width="33.36328125" style="2" customWidth="1"/>
    <col min="11529" max="11566" width="8.90625" style="2" customWidth="1"/>
    <col min="11567" max="11769" width="8.90625" style="2"/>
    <col min="11770" max="11770" width="6.90625" style="2" customWidth="1"/>
    <col min="11771" max="11771" width="9.6328125" style="2" customWidth="1"/>
    <col min="11772" max="11772" width="26.6328125" style="2" customWidth="1"/>
    <col min="11773" max="11773" width="15.90625" style="2" customWidth="1"/>
    <col min="11774" max="11774" width="7.08984375" style="2" bestFit="1" customWidth="1"/>
    <col min="11775" max="11775" width="9.453125" style="2" bestFit="1" customWidth="1"/>
    <col min="11776" max="11776" width="10.6328125" style="2" customWidth="1"/>
    <col min="11777" max="11777" width="6.6328125" style="2" customWidth="1"/>
    <col min="11778" max="11778" width="9.08984375" style="2" customWidth="1"/>
    <col min="11779" max="11779" width="10.6328125" style="2" customWidth="1"/>
    <col min="11780" max="11780" width="7.453125" style="2" customWidth="1"/>
    <col min="11781" max="11781" width="8.6328125" style="2" customWidth="1"/>
    <col min="11782" max="11783" width="10.6328125" style="2" customWidth="1"/>
    <col min="11784" max="11784" width="33.36328125" style="2" customWidth="1"/>
    <col min="11785" max="11822" width="8.90625" style="2" customWidth="1"/>
    <col min="11823" max="12025" width="8.90625" style="2"/>
    <col min="12026" max="12026" width="6.90625" style="2" customWidth="1"/>
    <col min="12027" max="12027" width="9.6328125" style="2" customWidth="1"/>
    <col min="12028" max="12028" width="26.6328125" style="2" customWidth="1"/>
    <col min="12029" max="12029" width="15.90625" style="2" customWidth="1"/>
    <col min="12030" max="12030" width="7.08984375" style="2" bestFit="1" customWidth="1"/>
    <col min="12031" max="12031" width="9.453125" style="2" bestFit="1" customWidth="1"/>
    <col min="12032" max="12032" width="10.6328125" style="2" customWidth="1"/>
    <col min="12033" max="12033" width="6.6328125" style="2" customWidth="1"/>
    <col min="12034" max="12034" width="9.08984375" style="2" customWidth="1"/>
    <col min="12035" max="12035" width="10.6328125" style="2" customWidth="1"/>
    <col min="12036" max="12036" width="7.453125" style="2" customWidth="1"/>
    <col min="12037" max="12037" width="8.6328125" style="2" customWidth="1"/>
    <col min="12038" max="12039" width="10.6328125" style="2" customWidth="1"/>
    <col min="12040" max="12040" width="33.36328125" style="2" customWidth="1"/>
    <col min="12041" max="12078" width="8.90625" style="2" customWidth="1"/>
    <col min="12079" max="12281" width="8.90625" style="2"/>
    <col min="12282" max="12282" width="6.90625" style="2" customWidth="1"/>
    <col min="12283" max="12283" width="9.6328125" style="2" customWidth="1"/>
    <col min="12284" max="12284" width="26.6328125" style="2" customWidth="1"/>
    <col min="12285" max="12285" width="15.90625" style="2" customWidth="1"/>
    <col min="12286" max="12286" width="7.08984375" style="2" bestFit="1" customWidth="1"/>
    <col min="12287" max="12287" width="9.453125" style="2" bestFit="1" customWidth="1"/>
    <col min="12288" max="12288" width="10.6328125" style="2" customWidth="1"/>
    <col min="12289" max="12289" width="6.6328125" style="2" customWidth="1"/>
    <col min="12290" max="12290" width="9.08984375" style="2" customWidth="1"/>
    <col min="12291" max="12291" width="10.6328125" style="2" customWidth="1"/>
    <col min="12292" max="12292" width="7.453125" style="2" customWidth="1"/>
    <col min="12293" max="12293" width="8.6328125" style="2" customWidth="1"/>
    <col min="12294" max="12295" width="10.6328125" style="2" customWidth="1"/>
    <col min="12296" max="12296" width="33.36328125" style="2" customWidth="1"/>
    <col min="12297" max="12334" width="8.90625" style="2" customWidth="1"/>
    <col min="12335" max="12537" width="8.90625" style="2"/>
    <col min="12538" max="12538" width="6.90625" style="2" customWidth="1"/>
    <col min="12539" max="12539" width="9.6328125" style="2" customWidth="1"/>
    <col min="12540" max="12540" width="26.6328125" style="2" customWidth="1"/>
    <col min="12541" max="12541" width="15.90625" style="2" customWidth="1"/>
    <col min="12542" max="12542" width="7.08984375" style="2" bestFit="1" customWidth="1"/>
    <col min="12543" max="12543" width="9.453125" style="2" bestFit="1" customWidth="1"/>
    <col min="12544" max="12544" width="10.6328125" style="2" customWidth="1"/>
    <col min="12545" max="12545" width="6.6328125" style="2" customWidth="1"/>
    <col min="12546" max="12546" width="9.08984375" style="2" customWidth="1"/>
    <col min="12547" max="12547" width="10.6328125" style="2" customWidth="1"/>
    <col min="12548" max="12548" width="7.453125" style="2" customWidth="1"/>
    <col min="12549" max="12549" width="8.6328125" style="2" customWidth="1"/>
    <col min="12550" max="12551" width="10.6328125" style="2" customWidth="1"/>
    <col min="12552" max="12552" width="33.36328125" style="2" customWidth="1"/>
    <col min="12553" max="12590" width="8.90625" style="2" customWidth="1"/>
    <col min="12591" max="12793" width="8.90625" style="2"/>
    <col min="12794" max="12794" width="6.90625" style="2" customWidth="1"/>
    <col min="12795" max="12795" width="9.6328125" style="2" customWidth="1"/>
    <col min="12796" max="12796" width="26.6328125" style="2" customWidth="1"/>
    <col min="12797" max="12797" width="15.90625" style="2" customWidth="1"/>
    <col min="12798" max="12798" width="7.08984375" style="2" bestFit="1" customWidth="1"/>
    <col min="12799" max="12799" width="9.453125" style="2" bestFit="1" customWidth="1"/>
    <col min="12800" max="12800" width="10.6328125" style="2" customWidth="1"/>
    <col min="12801" max="12801" width="6.6328125" style="2" customWidth="1"/>
    <col min="12802" max="12802" width="9.08984375" style="2" customWidth="1"/>
    <col min="12803" max="12803" width="10.6328125" style="2" customWidth="1"/>
    <col min="12804" max="12804" width="7.453125" style="2" customWidth="1"/>
    <col min="12805" max="12805" width="8.6328125" style="2" customWidth="1"/>
    <col min="12806" max="12807" width="10.6328125" style="2" customWidth="1"/>
    <col min="12808" max="12808" width="33.36328125" style="2" customWidth="1"/>
    <col min="12809" max="12846" width="8.90625" style="2" customWidth="1"/>
    <col min="12847" max="13049" width="8.90625" style="2"/>
    <col min="13050" max="13050" width="6.90625" style="2" customWidth="1"/>
    <col min="13051" max="13051" width="9.6328125" style="2" customWidth="1"/>
    <col min="13052" max="13052" width="26.6328125" style="2" customWidth="1"/>
    <col min="13053" max="13053" width="15.90625" style="2" customWidth="1"/>
    <col min="13054" max="13054" width="7.08984375" style="2" bestFit="1" customWidth="1"/>
    <col min="13055" max="13055" width="9.453125" style="2" bestFit="1" customWidth="1"/>
    <col min="13056" max="13056" width="10.6328125" style="2" customWidth="1"/>
    <col min="13057" max="13057" width="6.6328125" style="2" customWidth="1"/>
    <col min="13058" max="13058" width="9.08984375" style="2" customWidth="1"/>
    <col min="13059" max="13059" width="10.6328125" style="2" customWidth="1"/>
    <col min="13060" max="13060" width="7.453125" style="2" customWidth="1"/>
    <col min="13061" max="13061" width="8.6328125" style="2" customWidth="1"/>
    <col min="13062" max="13063" width="10.6328125" style="2" customWidth="1"/>
    <col min="13064" max="13064" width="33.36328125" style="2" customWidth="1"/>
    <col min="13065" max="13102" width="8.90625" style="2" customWidth="1"/>
    <col min="13103" max="13305" width="8.90625" style="2"/>
    <col min="13306" max="13306" width="6.90625" style="2" customWidth="1"/>
    <col min="13307" max="13307" width="9.6328125" style="2" customWidth="1"/>
    <col min="13308" max="13308" width="26.6328125" style="2" customWidth="1"/>
    <col min="13309" max="13309" width="15.90625" style="2" customWidth="1"/>
    <col min="13310" max="13310" width="7.08984375" style="2" bestFit="1" customWidth="1"/>
    <col min="13311" max="13311" width="9.453125" style="2" bestFit="1" customWidth="1"/>
    <col min="13312" max="13312" width="10.6328125" style="2" customWidth="1"/>
    <col min="13313" max="13313" width="6.6328125" style="2" customWidth="1"/>
    <col min="13314" max="13314" width="9.08984375" style="2" customWidth="1"/>
    <col min="13315" max="13315" width="10.6328125" style="2" customWidth="1"/>
    <col min="13316" max="13316" width="7.453125" style="2" customWidth="1"/>
    <col min="13317" max="13317" width="8.6328125" style="2" customWidth="1"/>
    <col min="13318" max="13319" width="10.6328125" style="2" customWidth="1"/>
    <col min="13320" max="13320" width="33.36328125" style="2" customWidth="1"/>
    <col min="13321" max="13358" width="8.90625" style="2" customWidth="1"/>
    <col min="13359" max="13561" width="8.90625" style="2"/>
    <col min="13562" max="13562" width="6.90625" style="2" customWidth="1"/>
    <col min="13563" max="13563" width="9.6328125" style="2" customWidth="1"/>
    <col min="13564" max="13564" width="26.6328125" style="2" customWidth="1"/>
    <col min="13565" max="13565" width="15.90625" style="2" customWidth="1"/>
    <col min="13566" max="13566" width="7.08984375" style="2" bestFit="1" customWidth="1"/>
    <col min="13567" max="13567" width="9.453125" style="2" bestFit="1" customWidth="1"/>
    <col min="13568" max="13568" width="10.6328125" style="2" customWidth="1"/>
    <col min="13569" max="13569" width="6.6328125" style="2" customWidth="1"/>
    <col min="13570" max="13570" width="9.08984375" style="2" customWidth="1"/>
    <col min="13571" max="13571" width="10.6328125" style="2" customWidth="1"/>
    <col min="13572" max="13572" width="7.453125" style="2" customWidth="1"/>
    <col min="13573" max="13573" width="8.6328125" style="2" customWidth="1"/>
    <col min="13574" max="13575" width="10.6328125" style="2" customWidth="1"/>
    <col min="13576" max="13576" width="33.36328125" style="2" customWidth="1"/>
    <col min="13577" max="13614" width="8.90625" style="2" customWidth="1"/>
    <col min="13615" max="13817" width="8.90625" style="2"/>
    <col min="13818" max="13818" width="6.90625" style="2" customWidth="1"/>
    <col min="13819" max="13819" width="9.6328125" style="2" customWidth="1"/>
    <col min="13820" max="13820" width="26.6328125" style="2" customWidth="1"/>
    <col min="13821" max="13821" width="15.90625" style="2" customWidth="1"/>
    <col min="13822" max="13822" width="7.08984375" style="2" bestFit="1" customWidth="1"/>
    <col min="13823" max="13823" width="9.453125" style="2" bestFit="1" customWidth="1"/>
    <col min="13824" max="13824" width="10.6328125" style="2" customWidth="1"/>
    <col min="13825" max="13825" width="6.6328125" style="2" customWidth="1"/>
    <col min="13826" max="13826" width="9.08984375" style="2" customWidth="1"/>
    <col min="13827" max="13827" width="10.6328125" style="2" customWidth="1"/>
    <col min="13828" max="13828" width="7.453125" style="2" customWidth="1"/>
    <col min="13829" max="13829" width="8.6328125" style="2" customWidth="1"/>
    <col min="13830" max="13831" width="10.6328125" style="2" customWidth="1"/>
    <col min="13832" max="13832" width="33.36328125" style="2" customWidth="1"/>
    <col min="13833" max="13870" width="8.90625" style="2" customWidth="1"/>
    <col min="13871" max="14073" width="8.90625" style="2"/>
    <col min="14074" max="14074" width="6.90625" style="2" customWidth="1"/>
    <col min="14075" max="14075" width="9.6328125" style="2" customWidth="1"/>
    <col min="14076" max="14076" width="26.6328125" style="2" customWidth="1"/>
    <col min="14077" max="14077" width="15.90625" style="2" customWidth="1"/>
    <col min="14078" max="14078" width="7.08984375" style="2" bestFit="1" customWidth="1"/>
    <col min="14079" max="14079" width="9.453125" style="2" bestFit="1" customWidth="1"/>
    <col min="14080" max="14080" width="10.6328125" style="2" customWidth="1"/>
    <col min="14081" max="14081" width="6.6328125" style="2" customWidth="1"/>
    <col min="14082" max="14082" width="9.08984375" style="2" customWidth="1"/>
    <col min="14083" max="14083" width="10.6328125" style="2" customWidth="1"/>
    <col min="14084" max="14084" width="7.453125" style="2" customWidth="1"/>
    <col min="14085" max="14085" width="8.6328125" style="2" customWidth="1"/>
    <col min="14086" max="14087" width="10.6328125" style="2" customWidth="1"/>
    <col min="14088" max="14088" width="33.36328125" style="2" customWidth="1"/>
    <col min="14089" max="14126" width="8.90625" style="2" customWidth="1"/>
    <col min="14127" max="14329" width="8.90625" style="2"/>
    <col min="14330" max="14330" width="6.90625" style="2" customWidth="1"/>
    <col min="14331" max="14331" width="9.6328125" style="2" customWidth="1"/>
    <col min="14332" max="14332" width="26.6328125" style="2" customWidth="1"/>
    <col min="14333" max="14333" width="15.90625" style="2" customWidth="1"/>
    <col min="14334" max="14334" width="7.08984375" style="2" bestFit="1" customWidth="1"/>
    <col min="14335" max="14335" width="9.453125" style="2" bestFit="1" customWidth="1"/>
    <col min="14336" max="14336" width="10.6328125" style="2" customWidth="1"/>
    <col min="14337" max="14337" width="6.6328125" style="2" customWidth="1"/>
    <col min="14338" max="14338" width="9.08984375" style="2" customWidth="1"/>
    <col min="14339" max="14339" width="10.6328125" style="2" customWidth="1"/>
    <col min="14340" max="14340" width="7.453125" style="2" customWidth="1"/>
    <col min="14341" max="14341" width="8.6328125" style="2" customWidth="1"/>
    <col min="14342" max="14343" width="10.6328125" style="2" customWidth="1"/>
    <col min="14344" max="14344" width="33.36328125" style="2" customWidth="1"/>
    <col min="14345" max="14382" width="8.90625" style="2" customWidth="1"/>
    <col min="14383" max="14585" width="8.90625" style="2"/>
    <col min="14586" max="14586" width="6.90625" style="2" customWidth="1"/>
    <col min="14587" max="14587" width="9.6328125" style="2" customWidth="1"/>
    <col min="14588" max="14588" width="26.6328125" style="2" customWidth="1"/>
    <col min="14589" max="14589" width="15.90625" style="2" customWidth="1"/>
    <col min="14590" max="14590" width="7.08984375" style="2" bestFit="1" customWidth="1"/>
    <col min="14591" max="14591" width="9.453125" style="2" bestFit="1" customWidth="1"/>
    <col min="14592" max="14592" width="10.6328125" style="2" customWidth="1"/>
    <col min="14593" max="14593" width="6.6328125" style="2" customWidth="1"/>
    <col min="14594" max="14594" width="9.08984375" style="2" customWidth="1"/>
    <col min="14595" max="14595" width="10.6328125" style="2" customWidth="1"/>
    <col min="14596" max="14596" width="7.453125" style="2" customWidth="1"/>
    <col min="14597" max="14597" width="8.6328125" style="2" customWidth="1"/>
    <col min="14598" max="14599" width="10.6328125" style="2" customWidth="1"/>
    <col min="14600" max="14600" width="33.36328125" style="2" customWidth="1"/>
    <col min="14601" max="14638" width="8.90625" style="2" customWidth="1"/>
    <col min="14639" max="14841" width="8.90625" style="2"/>
    <col min="14842" max="14842" width="6.90625" style="2" customWidth="1"/>
    <col min="14843" max="14843" width="9.6328125" style="2" customWidth="1"/>
    <col min="14844" max="14844" width="26.6328125" style="2" customWidth="1"/>
    <col min="14845" max="14845" width="15.90625" style="2" customWidth="1"/>
    <col min="14846" max="14846" width="7.08984375" style="2" bestFit="1" customWidth="1"/>
    <col min="14847" max="14847" width="9.453125" style="2" bestFit="1" customWidth="1"/>
    <col min="14848" max="14848" width="10.6328125" style="2" customWidth="1"/>
    <col min="14849" max="14849" width="6.6328125" style="2" customWidth="1"/>
    <col min="14850" max="14850" width="9.08984375" style="2" customWidth="1"/>
    <col min="14851" max="14851" width="10.6328125" style="2" customWidth="1"/>
    <col min="14852" max="14852" width="7.453125" style="2" customWidth="1"/>
    <col min="14853" max="14853" width="8.6328125" style="2" customWidth="1"/>
    <col min="14854" max="14855" width="10.6328125" style="2" customWidth="1"/>
    <col min="14856" max="14856" width="33.36328125" style="2" customWidth="1"/>
    <col min="14857" max="14894" width="8.90625" style="2" customWidth="1"/>
    <col min="14895" max="15097" width="8.90625" style="2"/>
    <col min="15098" max="15098" width="6.90625" style="2" customWidth="1"/>
    <col min="15099" max="15099" width="9.6328125" style="2" customWidth="1"/>
    <col min="15100" max="15100" width="26.6328125" style="2" customWidth="1"/>
    <col min="15101" max="15101" width="15.90625" style="2" customWidth="1"/>
    <col min="15102" max="15102" width="7.08984375" style="2" bestFit="1" customWidth="1"/>
    <col min="15103" max="15103" width="9.453125" style="2" bestFit="1" customWidth="1"/>
    <col min="15104" max="15104" width="10.6328125" style="2" customWidth="1"/>
    <col min="15105" max="15105" width="6.6328125" style="2" customWidth="1"/>
    <col min="15106" max="15106" width="9.08984375" style="2" customWidth="1"/>
    <col min="15107" max="15107" width="10.6328125" style="2" customWidth="1"/>
    <col min="15108" max="15108" width="7.453125" style="2" customWidth="1"/>
    <col min="15109" max="15109" width="8.6328125" style="2" customWidth="1"/>
    <col min="15110" max="15111" width="10.6328125" style="2" customWidth="1"/>
    <col min="15112" max="15112" width="33.36328125" style="2" customWidth="1"/>
    <col min="15113" max="15150" width="8.90625" style="2" customWidth="1"/>
    <col min="15151" max="15353" width="8.90625" style="2"/>
    <col min="15354" max="15354" width="6.90625" style="2" customWidth="1"/>
    <col min="15355" max="15355" width="9.6328125" style="2" customWidth="1"/>
    <col min="15356" max="15356" width="26.6328125" style="2" customWidth="1"/>
    <col min="15357" max="15357" width="15.90625" style="2" customWidth="1"/>
    <col min="15358" max="15358" width="7.08984375" style="2" bestFit="1" customWidth="1"/>
    <col min="15359" max="15359" width="9.453125" style="2" bestFit="1" customWidth="1"/>
    <col min="15360" max="15360" width="10.6328125" style="2" customWidth="1"/>
    <col min="15361" max="15361" width="6.6328125" style="2" customWidth="1"/>
    <col min="15362" max="15362" width="9.08984375" style="2" customWidth="1"/>
    <col min="15363" max="15363" width="10.6328125" style="2" customWidth="1"/>
    <col min="15364" max="15364" width="7.453125" style="2" customWidth="1"/>
    <col min="15365" max="15365" width="8.6328125" style="2" customWidth="1"/>
    <col min="15366" max="15367" width="10.6328125" style="2" customWidth="1"/>
    <col min="15368" max="15368" width="33.36328125" style="2" customWidth="1"/>
    <col min="15369" max="15406" width="8.90625" style="2" customWidth="1"/>
    <col min="15407" max="15609" width="8.90625" style="2"/>
    <col min="15610" max="15610" width="6.90625" style="2" customWidth="1"/>
    <col min="15611" max="15611" width="9.6328125" style="2" customWidth="1"/>
    <col min="15612" max="15612" width="26.6328125" style="2" customWidth="1"/>
    <col min="15613" max="15613" width="15.90625" style="2" customWidth="1"/>
    <col min="15614" max="15614" width="7.08984375" style="2" bestFit="1" customWidth="1"/>
    <col min="15615" max="15615" width="9.453125" style="2" bestFit="1" customWidth="1"/>
    <col min="15616" max="15616" width="10.6328125" style="2" customWidth="1"/>
    <col min="15617" max="15617" width="6.6328125" style="2" customWidth="1"/>
    <col min="15618" max="15618" width="9.08984375" style="2" customWidth="1"/>
    <col min="15619" max="15619" width="10.6328125" style="2" customWidth="1"/>
    <col min="15620" max="15620" width="7.453125" style="2" customWidth="1"/>
    <col min="15621" max="15621" width="8.6328125" style="2" customWidth="1"/>
    <col min="15622" max="15623" width="10.6328125" style="2" customWidth="1"/>
    <col min="15624" max="15624" width="33.36328125" style="2" customWidth="1"/>
    <col min="15625" max="15662" width="8.90625" style="2" customWidth="1"/>
    <col min="15663" max="15865" width="8.90625" style="2"/>
    <col min="15866" max="15866" width="6.90625" style="2" customWidth="1"/>
    <col min="15867" max="15867" width="9.6328125" style="2" customWidth="1"/>
    <col min="15868" max="15868" width="26.6328125" style="2" customWidth="1"/>
    <col min="15869" max="15869" width="15.90625" style="2" customWidth="1"/>
    <col min="15870" max="15870" width="7.08984375" style="2" bestFit="1" customWidth="1"/>
    <col min="15871" max="15871" width="9.453125" style="2" bestFit="1" customWidth="1"/>
    <col min="15872" max="15872" width="10.6328125" style="2" customWidth="1"/>
    <col min="15873" max="15873" width="6.6328125" style="2" customWidth="1"/>
    <col min="15874" max="15874" width="9.08984375" style="2" customWidth="1"/>
    <col min="15875" max="15875" width="10.6328125" style="2" customWidth="1"/>
    <col min="15876" max="15876" width="7.453125" style="2" customWidth="1"/>
    <col min="15877" max="15877" width="8.6328125" style="2" customWidth="1"/>
    <col min="15878" max="15879" width="10.6328125" style="2" customWidth="1"/>
    <col min="15880" max="15880" width="33.36328125" style="2" customWidth="1"/>
    <col min="15881" max="15918" width="8.90625" style="2" customWidth="1"/>
    <col min="15919" max="16121" width="8.90625" style="2"/>
    <col min="16122" max="16122" width="6.90625" style="2" customWidth="1"/>
    <col min="16123" max="16123" width="9.6328125" style="2" customWidth="1"/>
    <col min="16124" max="16124" width="26.6328125" style="2" customWidth="1"/>
    <col min="16125" max="16125" width="15.90625" style="2" customWidth="1"/>
    <col min="16126" max="16126" width="7.08984375" style="2" bestFit="1" customWidth="1"/>
    <col min="16127" max="16127" width="9.453125" style="2" bestFit="1" customWidth="1"/>
    <col min="16128" max="16128" width="10.6328125" style="2" customWidth="1"/>
    <col min="16129" max="16129" width="6.6328125" style="2" customWidth="1"/>
    <col min="16130" max="16130" width="9.08984375" style="2" customWidth="1"/>
    <col min="16131" max="16131" width="10.6328125" style="2" customWidth="1"/>
    <col min="16132" max="16132" width="7.453125" style="2" customWidth="1"/>
    <col min="16133" max="16133" width="8.6328125" style="2" customWidth="1"/>
    <col min="16134" max="16135" width="10.6328125" style="2" customWidth="1"/>
    <col min="16136" max="16136" width="33.36328125" style="2" customWidth="1"/>
    <col min="16137" max="16174" width="8.90625" style="2" customWidth="1"/>
    <col min="16175" max="16384" width="8.90625" style="2"/>
  </cols>
  <sheetData>
    <row r="1" spans="1:47" ht="27.5">
      <c r="A1" s="244"/>
      <c r="B1" s="2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</row>
    <row r="2" spans="1:47" ht="19.5">
      <c r="A2" s="246"/>
      <c r="B2" s="246"/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7"/>
    </row>
    <row r="3" spans="1:47" ht="19.5">
      <c r="A3" s="248"/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</row>
    <row r="4" spans="1:47" ht="19.5">
      <c r="A4" s="238" t="s">
        <v>11</v>
      </c>
      <c r="B4" s="239"/>
      <c r="C4" s="249"/>
      <c r="D4" s="250"/>
      <c r="E4" s="250"/>
      <c r="F4" s="250"/>
      <c r="G4" s="3"/>
      <c r="H4" s="3"/>
      <c r="I4" s="3"/>
      <c r="K4" s="3"/>
      <c r="L4" s="3"/>
      <c r="M4" s="3"/>
      <c r="N4" s="225"/>
      <c r="O4" s="3"/>
    </row>
    <row r="5" spans="1:47" ht="19.5">
      <c r="A5" s="238" t="s">
        <v>12</v>
      </c>
      <c r="B5" s="239"/>
      <c r="C5" s="251"/>
      <c r="D5" s="241"/>
      <c r="E5" s="250"/>
      <c r="F5" s="250"/>
      <c r="G5" s="3"/>
      <c r="H5" s="3"/>
      <c r="I5" s="3"/>
      <c r="K5" s="3"/>
      <c r="L5" s="3"/>
      <c r="M5" s="3"/>
      <c r="N5" s="225"/>
      <c r="O5" s="3"/>
    </row>
    <row r="6" spans="1:47" ht="19.5">
      <c r="A6" s="238" t="s">
        <v>13</v>
      </c>
      <c r="B6" s="239"/>
      <c r="C6" s="240"/>
      <c r="D6" s="241"/>
      <c r="E6" s="5"/>
      <c r="F6" s="140"/>
      <c r="G6" s="3"/>
      <c r="H6" s="3"/>
      <c r="I6" s="3"/>
      <c r="J6" s="3"/>
      <c r="K6" s="3"/>
      <c r="L6" s="3"/>
      <c r="M6" s="6"/>
      <c r="N6" s="226" t="s">
        <v>24</v>
      </c>
      <c r="O6" s="7"/>
    </row>
    <row r="7" spans="1:47" ht="20" thickBot="1">
      <c r="A7" s="242" t="s">
        <v>14</v>
      </c>
      <c r="B7" s="243"/>
      <c r="C7" s="240"/>
      <c r="D7" s="241"/>
      <c r="E7" s="8"/>
      <c r="F7" s="140"/>
      <c r="G7" s="3"/>
      <c r="H7" s="3"/>
      <c r="I7" s="3"/>
      <c r="J7" s="3"/>
      <c r="K7" s="3"/>
      <c r="L7" s="3"/>
      <c r="M7" s="9"/>
      <c r="N7" s="226" t="s">
        <v>23</v>
      </c>
      <c r="O7" s="10"/>
    </row>
    <row r="8" spans="1:47" s="12" customFormat="1" ht="17.5" thickBot="1">
      <c r="A8" s="120"/>
      <c r="B8" s="223"/>
      <c r="C8" s="121"/>
      <c r="D8" s="121"/>
      <c r="E8" s="122" t="s">
        <v>0</v>
      </c>
      <c r="F8" s="141"/>
      <c r="G8" s="123"/>
      <c r="H8" s="122" t="s">
        <v>1</v>
      </c>
      <c r="I8" s="121"/>
      <c r="J8" s="123"/>
      <c r="K8" s="122" t="s">
        <v>2</v>
      </c>
      <c r="L8" s="121"/>
      <c r="M8" s="123"/>
      <c r="N8" s="227" t="s">
        <v>3</v>
      </c>
      <c r="O8" s="147"/>
      <c r="P8" s="152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</row>
    <row r="9" spans="1:47" ht="17.5" thickBot="1">
      <c r="A9" s="13" t="s">
        <v>4</v>
      </c>
      <c r="B9" s="126" t="s">
        <v>5</v>
      </c>
      <c r="C9" s="127"/>
      <c r="D9" s="14" t="s">
        <v>6</v>
      </c>
      <c r="E9" s="131" t="s">
        <v>7</v>
      </c>
      <c r="F9" s="142" t="s">
        <v>8</v>
      </c>
      <c r="G9" s="16" t="s">
        <v>9</v>
      </c>
      <c r="H9" s="17" t="s">
        <v>7</v>
      </c>
      <c r="I9" s="15" t="s">
        <v>8</v>
      </c>
      <c r="J9" s="16" t="s">
        <v>9</v>
      </c>
      <c r="K9" s="17" t="s">
        <v>7</v>
      </c>
      <c r="L9" s="15" t="s">
        <v>8</v>
      </c>
      <c r="M9" s="18" t="s">
        <v>9</v>
      </c>
      <c r="N9" s="228"/>
      <c r="O9" s="148"/>
      <c r="P9" s="153" t="s">
        <v>10</v>
      </c>
    </row>
    <row r="10" spans="1:47" ht="21" customHeight="1" thickTop="1" thickBot="1">
      <c r="A10" s="42" t="str">
        <f>IF(AND(B10="", C10=""), "", ROW()-9)</f>
        <v/>
      </c>
      <c r="B10" s="113"/>
      <c r="C10" s="114"/>
      <c r="D10" s="55"/>
      <c r="E10" s="43"/>
      <c r="F10" s="132"/>
      <c r="G10" s="21"/>
      <c r="H10" s="19"/>
      <c r="I10" s="20"/>
      <c r="J10" s="21"/>
      <c r="K10" s="19"/>
      <c r="L10" s="20"/>
      <c r="M10" s="21"/>
      <c r="N10" s="229"/>
      <c r="O10" s="116"/>
      <c r="P10" s="154"/>
      <c r="Q10" s="1" t="str">
        <f>IF(P10="","",VALUE(TRIM(MID(SUBSTITUTE(P10,"*",REPT(" ",100)),1,100))))</f>
        <v/>
      </c>
      <c r="R10" s="1" t="str">
        <f>IF(P10="","",VALUE(TRIM(MID(SUBSTITUTE(P10,"*",REPT(" ",100)),100,100))))</f>
        <v/>
      </c>
      <c r="S10" s="1" t="str">
        <f>IF(P10="","",VALUE(TRIM(MID(SUBSTITUTE(P10,"*",REPT(" ",100)),200,100))))</f>
        <v/>
      </c>
      <c r="AU10" s="1"/>
    </row>
    <row r="11" spans="1:47" s="23" customFormat="1" ht="21" customHeight="1" thickBot="1">
      <c r="A11" s="42" t="str">
        <f t="shared" ref="A11:A71" si="0">IF(AND(B11="", C11=""), "", ROW()-9)</f>
        <v/>
      </c>
      <c r="B11" s="113"/>
      <c r="C11" s="114"/>
      <c r="D11" s="55"/>
      <c r="E11" s="43"/>
      <c r="F11" s="132"/>
      <c r="G11" s="21"/>
      <c r="H11" s="19"/>
      <c r="I11" s="20"/>
      <c r="J11" s="21"/>
      <c r="K11" s="19"/>
      <c r="L11" s="20"/>
      <c r="M11" s="21"/>
      <c r="N11" s="229"/>
      <c r="O11" s="116"/>
      <c r="P11" s="154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</row>
    <row r="12" spans="1:47" s="23" customFormat="1" ht="21" customHeight="1" thickBot="1">
      <c r="A12" s="42" t="str">
        <f t="shared" si="0"/>
        <v/>
      </c>
      <c r="B12" s="113"/>
      <c r="C12" s="114"/>
      <c r="D12" s="55"/>
      <c r="E12" s="43"/>
      <c r="F12" s="132"/>
      <c r="G12" s="21"/>
      <c r="H12" s="19"/>
      <c r="I12" s="20"/>
      <c r="J12" s="21"/>
      <c r="K12" s="19"/>
      <c r="L12" s="20"/>
      <c r="M12" s="21"/>
      <c r="N12" s="229"/>
      <c r="O12" s="116"/>
      <c r="P12" s="154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</row>
    <row r="13" spans="1:47" ht="21" customHeight="1" thickBot="1">
      <c r="A13" s="42" t="str">
        <f t="shared" si="0"/>
        <v/>
      </c>
      <c r="B13" s="202"/>
      <c r="C13" s="118"/>
      <c r="D13" s="48"/>
      <c r="E13" s="62"/>
      <c r="F13" s="138"/>
      <c r="G13" s="21"/>
      <c r="H13" s="25"/>
      <c r="I13" s="41"/>
      <c r="J13" s="21"/>
      <c r="K13" s="25"/>
      <c r="L13" s="41"/>
      <c r="M13" s="21"/>
      <c r="N13" s="229"/>
      <c r="O13" s="116"/>
      <c r="P13" s="154"/>
    </row>
    <row r="14" spans="1:47" s="1" customFormat="1" ht="21" customHeight="1" thickBot="1">
      <c r="A14" s="42" t="str">
        <f t="shared" si="0"/>
        <v/>
      </c>
      <c r="B14" s="203"/>
      <c r="C14" s="124"/>
      <c r="D14" s="67"/>
      <c r="E14" s="24"/>
      <c r="F14" s="132"/>
      <c r="G14" s="21"/>
      <c r="H14" s="25"/>
      <c r="I14" s="61"/>
      <c r="J14" s="21"/>
      <c r="K14" s="25"/>
      <c r="L14" s="61"/>
      <c r="M14" s="21"/>
      <c r="N14" s="229"/>
      <c r="O14" s="116"/>
      <c r="P14" s="154"/>
    </row>
    <row r="15" spans="1:47" s="1" customFormat="1" ht="21" customHeight="1" thickBot="1">
      <c r="A15" s="42" t="str">
        <f t="shared" si="0"/>
        <v/>
      </c>
      <c r="B15" s="204"/>
      <c r="C15" s="155"/>
      <c r="D15" s="56"/>
      <c r="E15" s="184"/>
      <c r="F15" s="145"/>
      <c r="G15" s="21"/>
      <c r="H15" s="53"/>
      <c r="I15" s="53"/>
      <c r="J15" s="21"/>
      <c r="K15" s="53"/>
      <c r="L15" s="53"/>
      <c r="M15" s="21"/>
      <c r="N15" s="229"/>
      <c r="O15" s="116"/>
      <c r="P15" s="154"/>
    </row>
    <row r="16" spans="1:47" ht="21" customHeight="1" thickBot="1">
      <c r="A16" s="42" t="str">
        <f t="shared" si="0"/>
        <v/>
      </c>
      <c r="B16" s="205"/>
      <c r="C16" s="125"/>
      <c r="D16" s="47"/>
      <c r="E16" s="82"/>
      <c r="F16" s="132"/>
      <c r="G16" s="21"/>
      <c r="H16" s="83"/>
      <c r="I16" s="20"/>
      <c r="J16" s="21"/>
      <c r="K16" s="83"/>
      <c r="L16" s="20"/>
      <c r="M16" s="21"/>
      <c r="N16" s="229"/>
      <c r="O16" s="116"/>
      <c r="P16" s="154"/>
    </row>
    <row r="17" spans="1:46" s="23" customFormat="1" ht="21" customHeight="1" thickBot="1">
      <c r="A17" s="42" t="str">
        <f t="shared" si="0"/>
        <v/>
      </c>
      <c r="B17" s="205"/>
      <c r="C17" s="125"/>
      <c r="D17" s="47"/>
      <c r="E17" s="43"/>
      <c r="F17" s="132"/>
      <c r="G17" s="21"/>
      <c r="H17" s="19"/>
      <c r="I17" s="20"/>
      <c r="J17" s="21"/>
      <c r="K17" s="19"/>
      <c r="L17" s="20"/>
      <c r="M17" s="21"/>
      <c r="N17" s="229"/>
      <c r="O17" s="116"/>
      <c r="P17" s="154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</row>
    <row r="18" spans="1:46" s="23" customFormat="1" ht="16.5" customHeight="1" thickBot="1">
      <c r="A18" s="42" t="str">
        <f t="shared" si="0"/>
        <v/>
      </c>
      <c r="B18" s="206"/>
      <c r="C18" s="201"/>
      <c r="D18" s="56"/>
      <c r="E18" s="82"/>
      <c r="F18" s="132"/>
      <c r="G18" s="21"/>
      <c r="H18" s="83"/>
      <c r="I18" s="20"/>
      <c r="J18" s="21"/>
      <c r="K18" s="83"/>
      <c r="L18" s="20"/>
      <c r="M18" s="21"/>
      <c r="N18" s="229"/>
      <c r="O18" s="116"/>
      <c r="P18" s="154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</row>
    <row r="19" spans="1:46" s="23" customFormat="1" ht="21" customHeight="1" thickBot="1">
      <c r="A19" s="42" t="str">
        <f t="shared" si="0"/>
        <v/>
      </c>
      <c r="B19" s="204"/>
      <c r="C19" s="155"/>
      <c r="D19" s="47"/>
      <c r="E19" s="82"/>
      <c r="F19" s="132"/>
      <c r="G19" s="21"/>
      <c r="H19" s="83"/>
      <c r="I19" s="20"/>
      <c r="J19" s="21"/>
      <c r="K19" s="83"/>
      <c r="L19" s="20"/>
      <c r="M19" s="21"/>
      <c r="N19" s="229"/>
      <c r="O19" s="116"/>
      <c r="P19" s="154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</row>
    <row r="20" spans="1:46" s="1" customFormat="1" ht="21" customHeight="1" thickBot="1">
      <c r="A20" s="42" t="str">
        <f t="shared" si="0"/>
        <v/>
      </c>
      <c r="B20" s="207"/>
      <c r="C20" s="128"/>
      <c r="D20" s="47"/>
      <c r="E20" s="24"/>
      <c r="F20" s="133"/>
      <c r="G20" s="21"/>
      <c r="H20" s="25"/>
      <c r="I20" s="77"/>
      <c r="J20" s="21"/>
      <c r="K20" s="25"/>
      <c r="L20" s="77"/>
      <c r="M20" s="21"/>
      <c r="N20" s="230"/>
      <c r="O20" s="149"/>
      <c r="P20" s="154"/>
    </row>
    <row r="21" spans="1:46" s="1" customFormat="1" ht="21" customHeight="1" thickBot="1">
      <c r="A21" s="42" t="str">
        <f t="shared" si="0"/>
        <v/>
      </c>
      <c r="B21" s="205"/>
      <c r="C21" s="125"/>
      <c r="D21" s="47"/>
      <c r="E21" s="82"/>
      <c r="F21" s="132"/>
      <c r="G21" s="21"/>
      <c r="H21" s="83"/>
      <c r="I21" s="20"/>
      <c r="J21" s="21"/>
      <c r="K21" s="83"/>
      <c r="L21" s="20"/>
      <c r="M21" s="21"/>
      <c r="N21" s="229"/>
      <c r="O21" s="116"/>
      <c r="P21" s="154"/>
    </row>
    <row r="22" spans="1:46" s="1" customFormat="1" ht="21" customHeight="1" thickBot="1">
      <c r="A22" s="42" t="str">
        <f t="shared" si="0"/>
        <v/>
      </c>
      <c r="B22" s="208"/>
      <c r="C22" s="111"/>
      <c r="D22" s="86"/>
      <c r="E22" s="74"/>
      <c r="F22" s="133"/>
      <c r="G22" s="21"/>
      <c r="H22" s="25"/>
      <c r="I22" s="77"/>
      <c r="J22" s="21"/>
      <c r="K22" s="25"/>
      <c r="L22" s="77"/>
      <c r="M22" s="21"/>
      <c r="N22" s="230"/>
      <c r="O22" s="149"/>
      <c r="P22" s="154"/>
    </row>
    <row r="23" spans="1:46" s="1" customFormat="1" ht="21" customHeight="1" thickBot="1">
      <c r="A23" s="42" t="str">
        <f t="shared" si="0"/>
        <v/>
      </c>
      <c r="B23" s="205"/>
      <c r="C23" s="125"/>
      <c r="D23" s="47"/>
      <c r="E23" s="82"/>
      <c r="F23" s="132"/>
      <c r="G23" s="21"/>
      <c r="H23" s="83"/>
      <c r="I23" s="20"/>
      <c r="J23" s="21"/>
      <c r="K23" s="83"/>
      <c r="L23" s="20"/>
      <c r="M23" s="21"/>
      <c r="N23" s="229"/>
      <c r="O23" s="116"/>
      <c r="P23" s="154"/>
    </row>
    <row r="24" spans="1:46" s="1" customFormat="1" ht="21" customHeight="1" thickBot="1">
      <c r="A24" s="42" t="str">
        <f t="shared" si="0"/>
        <v/>
      </c>
      <c r="B24" s="209"/>
      <c r="C24" s="156"/>
      <c r="D24" s="168"/>
      <c r="E24" s="185"/>
      <c r="F24" s="139"/>
      <c r="G24" s="21"/>
      <c r="H24" s="25"/>
      <c r="I24" s="38"/>
      <c r="J24" s="21"/>
      <c r="K24" s="25"/>
      <c r="L24" s="38"/>
      <c r="M24" s="21"/>
      <c r="N24" s="230"/>
      <c r="O24" s="149"/>
      <c r="P24" s="154"/>
    </row>
    <row r="25" spans="1:46" s="1" customFormat="1" ht="21" customHeight="1" thickBot="1">
      <c r="A25" s="42" t="str">
        <f t="shared" si="0"/>
        <v/>
      </c>
      <c r="B25" s="210"/>
      <c r="C25" s="157"/>
      <c r="D25" s="169"/>
      <c r="E25" s="186"/>
      <c r="F25" s="195"/>
      <c r="G25" s="21"/>
      <c r="H25" s="25"/>
      <c r="I25" s="69"/>
      <c r="J25" s="21"/>
      <c r="K25" s="25"/>
      <c r="L25" s="69"/>
      <c r="M25" s="21"/>
      <c r="N25" s="230"/>
      <c r="O25" s="149"/>
      <c r="P25" s="154"/>
    </row>
    <row r="26" spans="1:46" s="1" customFormat="1" ht="21" customHeight="1" thickBot="1">
      <c r="A26" s="42" t="str">
        <f t="shared" si="0"/>
        <v/>
      </c>
      <c r="B26" s="207"/>
      <c r="C26" s="128"/>
      <c r="D26" s="44"/>
      <c r="E26" s="24"/>
      <c r="F26" s="133"/>
      <c r="G26" s="21"/>
      <c r="H26" s="25"/>
      <c r="I26" s="77"/>
      <c r="J26" s="21"/>
      <c r="K26" s="25"/>
      <c r="L26" s="77"/>
      <c r="M26" s="21"/>
      <c r="N26" s="230"/>
      <c r="O26" s="149"/>
      <c r="P26" s="154"/>
    </row>
    <row r="27" spans="1:46" s="1" customFormat="1" ht="21" customHeight="1" thickBot="1">
      <c r="A27" s="42" t="str">
        <f t="shared" si="0"/>
        <v/>
      </c>
      <c r="B27" s="205"/>
      <c r="C27" s="125"/>
      <c r="D27" s="47"/>
      <c r="E27" s="82"/>
      <c r="F27" s="132"/>
      <c r="G27" s="21"/>
      <c r="H27" s="83"/>
      <c r="I27" s="20"/>
      <c r="J27" s="21"/>
      <c r="K27" s="83"/>
      <c r="L27" s="20"/>
      <c r="M27" s="21"/>
      <c r="N27" s="229"/>
      <c r="O27" s="116"/>
      <c r="P27" s="154"/>
    </row>
    <row r="28" spans="1:46" s="1" customFormat="1" ht="21" customHeight="1" thickBot="1">
      <c r="A28" s="42" t="str">
        <f t="shared" si="0"/>
        <v/>
      </c>
      <c r="B28" s="207"/>
      <c r="C28" s="128"/>
      <c r="D28" s="44"/>
      <c r="E28" s="24"/>
      <c r="F28" s="133"/>
      <c r="G28" s="21"/>
      <c r="H28" s="25"/>
      <c r="I28" s="77"/>
      <c r="J28" s="21"/>
      <c r="K28" s="25"/>
      <c r="L28" s="77"/>
      <c r="M28" s="21"/>
      <c r="N28" s="230"/>
      <c r="O28" s="149"/>
      <c r="P28" s="154"/>
    </row>
    <row r="29" spans="1:46" s="1" customFormat="1" ht="21" customHeight="1" thickBot="1">
      <c r="A29" s="42" t="str">
        <f t="shared" si="0"/>
        <v/>
      </c>
      <c r="B29" s="207"/>
      <c r="C29" s="128"/>
      <c r="D29" s="44"/>
      <c r="E29" s="24"/>
      <c r="F29" s="133"/>
      <c r="G29" s="21"/>
      <c r="H29" s="25"/>
      <c r="I29" s="77"/>
      <c r="J29" s="21"/>
      <c r="K29" s="25"/>
      <c r="L29" s="77"/>
      <c r="M29" s="21"/>
      <c r="N29" s="230"/>
      <c r="O29" s="149"/>
      <c r="P29" s="154"/>
    </row>
    <row r="30" spans="1:46" s="1" customFormat="1" ht="21" customHeight="1" thickBot="1">
      <c r="A30" s="42" t="str">
        <f t="shared" si="0"/>
        <v/>
      </c>
      <c r="B30" s="205"/>
      <c r="C30" s="125"/>
      <c r="D30" s="47"/>
      <c r="E30" s="82"/>
      <c r="F30" s="132"/>
      <c r="G30" s="21"/>
      <c r="H30" s="83"/>
      <c r="I30" s="20"/>
      <c r="J30" s="21"/>
      <c r="K30" s="83"/>
      <c r="L30" s="20"/>
      <c r="M30" s="21"/>
      <c r="N30" s="229"/>
      <c r="O30" s="116"/>
      <c r="P30" s="154"/>
    </row>
    <row r="31" spans="1:46" s="22" customFormat="1" ht="16.5" customHeight="1" thickBot="1">
      <c r="A31" s="42" t="str">
        <f t="shared" si="0"/>
        <v/>
      </c>
      <c r="B31" s="205"/>
      <c r="C31" s="125"/>
      <c r="D31" s="47"/>
      <c r="E31" s="82"/>
      <c r="F31" s="132"/>
      <c r="G31" s="21"/>
      <c r="H31" s="83"/>
      <c r="I31" s="20"/>
      <c r="J31" s="21"/>
      <c r="K31" s="83"/>
      <c r="L31" s="20"/>
      <c r="M31" s="21"/>
      <c r="N31" s="229"/>
      <c r="O31" s="116"/>
      <c r="P31" s="154"/>
    </row>
    <row r="32" spans="1:46" s="1" customFormat="1" ht="21" customHeight="1" thickBot="1">
      <c r="A32" s="42" t="str">
        <f t="shared" si="0"/>
        <v/>
      </c>
      <c r="B32" s="205"/>
      <c r="C32" s="125"/>
      <c r="D32" s="47"/>
      <c r="E32" s="82"/>
      <c r="F32" s="132"/>
      <c r="G32" s="21"/>
      <c r="H32" s="83"/>
      <c r="I32" s="20"/>
      <c r="J32" s="21"/>
      <c r="K32" s="83"/>
      <c r="L32" s="20"/>
      <c r="M32" s="21"/>
      <c r="N32" s="229"/>
      <c r="O32" s="116"/>
      <c r="P32" s="154"/>
    </row>
    <row r="33" spans="1:48" ht="17" customHeight="1" thickBot="1">
      <c r="A33" s="42" t="str">
        <f t="shared" si="0"/>
        <v/>
      </c>
      <c r="B33" s="211"/>
      <c r="C33" s="110"/>
      <c r="D33" s="87"/>
      <c r="E33" s="49"/>
      <c r="F33" s="132"/>
      <c r="G33" s="21"/>
      <c r="H33" s="25"/>
      <c r="I33" s="61"/>
      <c r="J33" s="21"/>
      <c r="K33" s="25"/>
      <c r="L33" s="61"/>
      <c r="M33" s="21"/>
      <c r="N33" s="229"/>
      <c r="O33" s="116"/>
      <c r="P33" s="154"/>
    </row>
    <row r="34" spans="1:48" ht="21" customHeight="1" thickBot="1">
      <c r="A34" s="42" t="str">
        <f t="shared" si="0"/>
        <v/>
      </c>
      <c r="B34" s="212"/>
      <c r="C34" s="107"/>
      <c r="D34" s="60"/>
      <c r="E34" s="46"/>
      <c r="F34" s="132"/>
      <c r="G34" s="21"/>
      <c r="H34" s="83"/>
      <c r="I34" s="20"/>
      <c r="J34" s="21"/>
      <c r="K34" s="83"/>
      <c r="L34" s="20"/>
      <c r="M34" s="21"/>
      <c r="N34" s="229"/>
      <c r="O34" s="116"/>
      <c r="P34" s="154"/>
      <c r="AS34" s="2"/>
      <c r="AT34" s="2"/>
    </row>
    <row r="35" spans="1:48" ht="21" customHeight="1" thickBot="1">
      <c r="A35" s="42" t="str">
        <f t="shared" si="0"/>
        <v/>
      </c>
      <c r="B35" s="212"/>
      <c r="C35" s="107"/>
      <c r="D35" s="60"/>
      <c r="E35" s="46"/>
      <c r="F35" s="132"/>
      <c r="G35" s="21"/>
      <c r="H35" s="83"/>
      <c r="I35" s="20"/>
      <c r="J35" s="21"/>
      <c r="K35" s="83"/>
      <c r="L35" s="20"/>
      <c r="M35" s="21"/>
      <c r="N35" s="229"/>
      <c r="O35" s="116"/>
      <c r="P35" s="154"/>
      <c r="AU35" s="1"/>
    </row>
    <row r="36" spans="1:48" ht="21" customHeight="1" thickBot="1">
      <c r="A36" s="42" t="str">
        <f t="shared" si="0"/>
        <v/>
      </c>
      <c r="B36" s="213"/>
      <c r="C36" s="129"/>
      <c r="D36" s="63"/>
      <c r="E36" s="51"/>
      <c r="F36" s="132"/>
      <c r="G36" s="39"/>
      <c r="H36" s="52"/>
      <c r="I36" s="61"/>
      <c r="J36" s="39"/>
      <c r="K36" s="52"/>
      <c r="L36" s="61"/>
      <c r="M36" s="39"/>
      <c r="N36" s="229"/>
      <c r="O36" s="116"/>
      <c r="P36" s="154"/>
    </row>
    <row r="37" spans="1:48" ht="21" customHeight="1" thickBot="1">
      <c r="A37" s="42" t="str">
        <f t="shared" si="0"/>
        <v/>
      </c>
      <c r="B37" s="212"/>
      <c r="C37" s="107"/>
      <c r="D37" s="60"/>
      <c r="E37" s="46"/>
      <c r="F37" s="132"/>
      <c r="G37" s="21"/>
      <c r="H37" s="83"/>
      <c r="I37" s="20"/>
      <c r="J37" s="21"/>
      <c r="K37" s="83"/>
      <c r="L37" s="20"/>
      <c r="M37" s="21"/>
      <c r="N37" s="229"/>
      <c r="O37" s="116"/>
      <c r="P37" s="154"/>
    </row>
    <row r="38" spans="1:48" ht="21" customHeight="1" thickBot="1">
      <c r="A38" s="42" t="str">
        <f t="shared" si="0"/>
        <v/>
      </c>
      <c r="B38" s="207"/>
      <c r="C38" s="128"/>
      <c r="D38" s="44"/>
      <c r="E38" s="24"/>
      <c r="F38" s="133"/>
      <c r="G38" s="21"/>
      <c r="H38" s="25"/>
      <c r="I38" s="77"/>
      <c r="J38" s="21"/>
      <c r="K38" s="25"/>
      <c r="L38" s="77"/>
      <c r="M38" s="21"/>
      <c r="N38" s="230"/>
      <c r="O38" s="149"/>
      <c r="P38" s="154"/>
      <c r="AU38" s="1"/>
    </row>
    <row r="39" spans="1:48" ht="21" customHeight="1" thickBot="1">
      <c r="A39" s="42" t="str">
        <f t="shared" si="0"/>
        <v/>
      </c>
      <c r="B39" s="207"/>
      <c r="C39" s="128"/>
      <c r="D39" s="44"/>
      <c r="E39" s="24"/>
      <c r="F39" s="133"/>
      <c r="G39" s="21"/>
      <c r="H39" s="25"/>
      <c r="I39" s="77"/>
      <c r="J39" s="21"/>
      <c r="K39" s="25"/>
      <c r="L39" s="77"/>
      <c r="M39" s="21"/>
      <c r="N39" s="230"/>
      <c r="O39" s="149"/>
      <c r="P39" s="154"/>
      <c r="AU39" s="1"/>
      <c r="AV39" s="1"/>
    </row>
    <row r="40" spans="1:48" s="1" customFormat="1" ht="21" customHeight="1" thickBot="1">
      <c r="A40" s="42" t="str">
        <f t="shared" si="0"/>
        <v/>
      </c>
      <c r="B40" s="212"/>
      <c r="C40" s="158"/>
      <c r="D40" s="57"/>
      <c r="E40" s="50"/>
      <c r="F40" s="132"/>
      <c r="G40" s="21"/>
      <c r="H40" s="53"/>
      <c r="I40" s="61"/>
      <c r="J40" s="21"/>
      <c r="K40" s="53"/>
      <c r="L40" s="61"/>
      <c r="M40" s="21"/>
      <c r="N40" s="229"/>
      <c r="O40" s="116"/>
      <c r="P40" s="154"/>
    </row>
    <row r="41" spans="1:48" ht="21" customHeight="1" thickBot="1">
      <c r="A41" s="42" t="str">
        <f t="shared" si="0"/>
        <v/>
      </c>
      <c r="B41" s="214"/>
      <c r="C41" s="162"/>
      <c r="D41" s="172"/>
      <c r="E41" s="188"/>
      <c r="F41" s="133"/>
      <c r="G41" s="21"/>
      <c r="H41" s="191"/>
      <c r="I41" s="78"/>
      <c r="J41" s="21"/>
      <c r="K41" s="191"/>
      <c r="L41" s="78"/>
      <c r="M41" s="21"/>
      <c r="N41" s="230"/>
      <c r="O41" s="149"/>
      <c r="P41" s="154"/>
      <c r="AU41" s="1"/>
    </row>
    <row r="42" spans="1:48" s="23" customFormat="1" ht="21" customHeight="1" thickBot="1">
      <c r="A42" s="42" t="str">
        <f t="shared" si="0"/>
        <v/>
      </c>
      <c r="B42" s="212"/>
      <c r="C42" s="161"/>
      <c r="D42" s="57"/>
      <c r="E42" s="50"/>
      <c r="F42" s="132"/>
      <c r="G42" s="21"/>
      <c r="H42" s="53"/>
      <c r="I42" s="61"/>
      <c r="J42" s="21"/>
      <c r="K42" s="53"/>
      <c r="L42" s="61"/>
      <c r="M42" s="21"/>
      <c r="N42" s="229"/>
      <c r="O42" s="116"/>
      <c r="P42" s="154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</row>
    <row r="43" spans="1:48" s="23" customFormat="1" ht="21" customHeight="1" thickBot="1">
      <c r="A43" s="42" t="str">
        <f t="shared" si="0"/>
        <v/>
      </c>
      <c r="B43" s="212"/>
      <c r="C43" s="107"/>
      <c r="D43" s="60"/>
      <c r="E43" s="46"/>
      <c r="F43" s="132"/>
      <c r="G43" s="21"/>
      <c r="H43" s="83"/>
      <c r="I43" s="20"/>
      <c r="J43" s="21"/>
      <c r="K43" s="83"/>
      <c r="L43" s="20"/>
      <c r="M43" s="21"/>
      <c r="N43" s="229"/>
      <c r="O43" s="116"/>
      <c r="P43" s="154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</row>
    <row r="44" spans="1:48" s="1" customFormat="1" ht="21" customHeight="1" thickBot="1">
      <c r="A44" s="42" t="str">
        <f t="shared" si="0"/>
        <v/>
      </c>
      <c r="B44" s="212"/>
      <c r="C44" s="107"/>
      <c r="D44" s="60"/>
      <c r="E44" s="46"/>
      <c r="F44" s="132"/>
      <c r="G44" s="21"/>
      <c r="H44" s="83"/>
      <c r="I44" s="20"/>
      <c r="J44" s="21"/>
      <c r="K44" s="83"/>
      <c r="L44" s="20"/>
      <c r="M44" s="21"/>
      <c r="N44" s="229"/>
      <c r="O44" s="116"/>
      <c r="P44" s="154"/>
    </row>
    <row r="45" spans="1:48" s="1" customFormat="1" ht="21" customHeight="1" thickBot="1">
      <c r="A45" s="42" t="str">
        <f t="shared" si="0"/>
        <v/>
      </c>
      <c r="B45" s="212"/>
      <c r="C45" s="107"/>
      <c r="D45" s="60"/>
      <c r="E45" s="46"/>
      <c r="F45" s="132"/>
      <c r="G45" s="21"/>
      <c r="H45" s="83"/>
      <c r="I45" s="20"/>
      <c r="J45" s="21"/>
      <c r="K45" s="83"/>
      <c r="L45" s="20"/>
      <c r="M45" s="21"/>
      <c r="N45" s="229"/>
      <c r="O45" s="116"/>
      <c r="P45" s="154"/>
    </row>
    <row r="46" spans="1:48" s="22" customFormat="1" ht="21" customHeight="1" thickBot="1">
      <c r="A46" s="42" t="str">
        <f t="shared" si="0"/>
        <v/>
      </c>
      <c r="B46" s="212"/>
      <c r="C46" s="107"/>
      <c r="D46" s="60"/>
      <c r="E46" s="46"/>
      <c r="F46" s="132"/>
      <c r="G46" s="21"/>
      <c r="H46" s="83"/>
      <c r="I46" s="20"/>
      <c r="J46" s="21"/>
      <c r="K46" s="83"/>
      <c r="L46" s="20"/>
      <c r="M46" s="21"/>
      <c r="N46" s="229"/>
      <c r="O46" s="116"/>
      <c r="P46" s="154"/>
    </row>
    <row r="47" spans="1:48" ht="21" customHeight="1" thickBot="1">
      <c r="A47" s="42" t="str">
        <f t="shared" si="0"/>
        <v/>
      </c>
      <c r="B47" s="209"/>
      <c r="C47" s="160"/>
      <c r="D47" s="171"/>
      <c r="E47" s="187"/>
      <c r="F47" s="139"/>
      <c r="G47" s="21"/>
      <c r="H47" s="191"/>
      <c r="I47" s="54"/>
      <c r="J47" s="21"/>
      <c r="K47" s="191"/>
      <c r="L47" s="54"/>
      <c r="M47" s="21"/>
      <c r="N47" s="229"/>
      <c r="O47" s="116"/>
      <c r="P47" s="154"/>
    </row>
    <row r="48" spans="1:48" ht="21" customHeight="1" thickBot="1">
      <c r="A48" s="42" t="str">
        <f t="shared" si="0"/>
        <v/>
      </c>
      <c r="B48" s="215"/>
      <c r="C48" s="159"/>
      <c r="D48" s="170"/>
      <c r="E48" s="186"/>
      <c r="F48" s="196"/>
      <c r="G48" s="21"/>
      <c r="H48" s="25"/>
      <c r="I48" s="72"/>
      <c r="J48" s="21"/>
      <c r="K48" s="25"/>
      <c r="L48" s="72"/>
      <c r="M48" s="21"/>
      <c r="N48" s="230"/>
      <c r="O48" s="149"/>
      <c r="P48" s="154"/>
      <c r="AU48" s="1"/>
    </row>
    <row r="49" spans="1:16" s="1" customFormat="1" ht="21" customHeight="1" thickBot="1">
      <c r="A49" s="42" t="str">
        <f t="shared" si="0"/>
        <v/>
      </c>
      <c r="B49" s="216"/>
      <c r="C49" s="117"/>
      <c r="D49" s="58"/>
      <c r="E49" s="59"/>
      <c r="F49" s="138"/>
      <c r="G49" s="21"/>
      <c r="H49" s="25"/>
      <c r="I49" s="41"/>
      <c r="J49" s="21"/>
      <c r="K49" s="25"/>
      <c r="L49" s="41"/>
      <c r="M49" s="21"/>
      <c r="N49" s="229"/>
      <c r="O49" s="116"/>
      <c r="P49" s="154"/>
    </row>
    <row r="50" spans="1:16" s="1" customFormat="1" ht="21" customHeight="1" thickBot="1">
      <c r="A50" s="42" t="str">
        <f t="shared" si="0"/>
        <v/>
      </c>
      <c r="B50" s="216"/>
      <c r="C50" s="117"/>
      <c r="D50" s="88"/>
      <c r="E50" s="76"/>
      <c r="F50" s="135"/>
      <c r="G50" s="21"/>
      <c r="H50" s="25"/>
      <c r="I50" s="77"/>
      <c r="J50" s="21"/>
      <c r="K50" s="25"/>
      <c r="L50" s="77"/>
      <c r="M50" s="21"/>
      <c r="N50" s="230"/>
      <c r="O50" s="149"/>
      <c r="P50" s="154"/>
    </row>
    <row r="51" spans="1:16" s="1" customFormat="1" ht="21" customHeight="1" thickBot="1">
      <c r="A51" s="42" t="str">
        <f t="shared" si="0"/>
        <v/>
      </c>
      <c r="B51" s="216"/>
      <c r="C51" s="117"/>
      <c r="D51" s="88"/>
      <c r="E51" s="76"/>
      <c r="F51" s="135"/>
      <c r="G51" s="21"/>
      <c r="H51" s="25"/>
      <c r="I51" s="77"/>
      <c r="J51" s="21"/>
      <c r="K51" s="25"/>
      <c r="L51" s="77"/>
      <c r="M51" s="21"/>
      <c r="N51" s="230"/>
      <c r="O51" s="149"/>
      <c r="P51" s="154"/>
    </row>
    <row r="52" spans="1:16" s="1" customFormat="1" ht="21" customHeight="1" thickBot="1">
      <c r="A52" s="42" t="str">
        <f t="shared" si="0"/>
        <v/>
      </c>
      <c r="B52" s="216"/>
      <c r="C52" s="117"/>
      <c r="D52" s="44"/>
      <c r="E52" s="24"/>
      <c r="F52" s="133"/>
      <c r="G52" s="21"/>
      <c r="H52" s="25"/>
      <c r="I52" s="77"/>
      <c r="J52" s="21"/>
      <c r="K52" s="25"/>
      <c r="L52" s="77"/>
      <c r="M52" s="21"/>
      <c r="N52" s="230"/>
      <c r="O52" s="149"/>
      <c r="P52" s="154"/>
    </row>
    <row r="53" spans="1:16" s="1" customFormat="1" ht="21" customHeight="1" thickBot="1">
      <c r="A53" s="42" t="str">
        <f t="shared" si="0"/>
        <v/>
      </c>
      <c r="B53" s="216"/>
      <c r="C53" s="117"/>
      <c r="D53" s="89"/>
      <c r="E53" s="24"/>
      <c r="F53" s="133"/>
      <c r="G53" s="21"/>
      <c r="H53" s="25"/>
      <c r="I53" s="77"/>
      <c r="J53" s="21"/>
      <c r="K53" s="25"/>
      <c r="L53" s="77"/>
      <c r="M53" s="21"/>
      <c r="N53" s="230"/>
      <c r="O53" s="149"/>
      <c r="P53" s="154"/>
    </row>
    <row r="54" spans="1:16" s="1" customFormat="1" ht="21" customHeight="1" thickBot="1">
      <c r="A54" s="42" t="str">
        <f t="shared" si="0"/>
        <v/>
      </c>
      <c r="B54" s="212"/>
      <c r="C54" s="107"/>
      <c r="D54" s="60"/>
      <c r="E54" s="46"/>
      <c r="F54" s="132"/>
      <c r="G54" s="21"/>
      <c r="H54" s="83"/>
      <c r="I54" s="20"/>
      <c r="J54" s="21"/>
      <c r="K54" s="83"/>
      <c r="L54" s="20"/>
      <c r="M54" s="21"/>
      <c r="N54" s="229"/>
      <c r="O54" s="116"/>
      <c r="P54" s="154"/>
    </row>
    <row r="55" spans="1:16" s="1" customFormat="1" ht="21" customHeight="1" thickBot="1">
      <c r="A55" s="42" t="str">
        <f t="shared" si="0"/>
        <v/>
      </c>
      <c r="B55" s="216"/>
      <c r="C55" s="117"/>
      <c r="D55" s="90"/>
      <c r="E55" s="91"/>
      <c r="F55" s="138"/>
      <c r="G55" s="21"/>
      <c r="H55" s="25"/>
      <c r="I55" s="41"/>
      <c r="J55" s="21"/>
      <c r="K55" s="25"/>
      <c r="L55" s="41"/>
      <c r="M55" s="21"/>
      <c r="N55" s="230"/>
      <c r="O55" s="149"/>
      <c r="P55" s="154"/>
    </row>
    <row r="56" spans="1:16" s="1" customFormat="1" ht="21" customHeight="1" thickBot="1">
      <c r="A56" s="42" t="str">
        <f t="shared" si="0"/>
        <v/>
      </c>
      <c r="B56" s="216"/>
      <c r="C56" s="117"/>
      <c r="D56" s="92"/>
      <c r="E56" s="93"/>
      <c r="F56" s="133"/>
      <c r="G56" s="21"/>
      <c r="H56" s="25"/>
      <c r="I56" s="77"/>
      <c r="J56" s="21"/>
      <c r="K56" s="25"/>
      <c r="L56" s="77"/>
      <c r="M56" s="21"/>
      <c r="N56" s="229"/>
      <c r="O56" s="116"/>
      <c r="P56" s="154"/>
    </row>
    <row r="57" spans="1:16" s="1" customFormat="1" ht="21" customHeight="1" thickBot="1">
      <c r="A57" s="42" t="str">
        <f t="shared" si="0"/>
        <v/>
      </c>
      <c r="B57" s="214"/>
      <c r="C57" s="108"/>
      <c r="D57" s="44"/>
      <c r="E57" s="24"/>
      <c r="F57" s="133"/>
      <c r="G57" s="21"/>
      <c r="H57" s="25"/>
      <c r="I57" s="77"/>
      <c r="J57" s="21"/>
      <c r="K57" s="25"/>
      <c r="L57" s="77"/>
      <c r="M57" s="21"/>
      <c r="N57" s="230"/>
      <c r="O57" s="149"/>
      <c r="P57" s="154"/>
    </row>
    <row r="58" spans="1:16" s="1" customFormat="1" ht="21" customHeight="1" thickBot="1">
      <c r="A58" s="42" t="str">
        <f t="shared" si="0"/>
        <v/>
      </c>
      <c r="B58" s="214"/>
      <c r="C58" s="108"/>
      <c r="D58" s="44"/>
      <c r="E58" s="24"/>
      <c r="F58" s="133"/>
      <c r="G58" s="21"/>
      <c r="H58" s="25"/>
      <c r="I58" s="77"/>
      <c r="J58" s="21"/>
      <c r="K58" s="25"/>
      <c r="L58" s="77"/>
      <c r="M58" s="21"/>
      <c r="N58" s="230"/>
      <c r="O58" s="149"/>
      <c r="P58" s="154"/>
    </row>
    <row r="59" spans="1:16" s="1" customFormat="1" ht="21" customHeight="1" thickBot="1">
      <c r="A59" s="42" t="str">
        <f t="shared" si="0"/>
        <v/>
      </c>
      <c r="B59" s="216"/>
      <c r="C59" s="117"/>
      <c r="D59" s="45"/>
      <c r="E59" s="46"/>
      <c r="F59" s="132"/>
      <c r="G59" s="21"/>
      <c r="H59" s="25"/>
      <c r="I59" s="61"/>
      <c r="J59" s="21"/>
      <c r="K59" s="25"/>
      <c r="L59" s="61"/>
      <c r="M59" s="21"/>
      <c r="N59" s="229"/>
      <c r="O59" s="116"/>
      <c r="P59" s="154"/>
    </row>
    <row r="60" spans="1:16" s="22" customFormat="1" ht="21" customHeight="1" thickBot="1">
      <c r="A60" s="42" t="str">
        <f t="shared" si="0"/>
        <v/>
      </c>
      <c r="B60" s="216"/>
      <c r="C60" s="117"/>
      <c r="D60" s="70"/>
      <c r="E60" s="84"/>
      <c r="F60" s="133"/>
      <c r="G60" s="21"/>
      <c r="H60" s="85"/>
      <c r="I60" s="78"/>
      <c r="J60" s="21"/>
      <c r="K60" s="85"/>
      <c r="L60" s="78"/>
      <c r="M60" s="21"/>
      <c r="N60" s="229"/>
      <c r="O60" s="116"/>
      <c r="P60" s="154"/>
    </row>
    <row r="61" spans="1:16" s="22" customFormat="1" ht="21" customHeight="1" thickBot="1">
      <c r="A61" s="42" t="str">
        <f t="shared" si="0"/>
        <v/>
      </c>
      <c r="B61" s="212"/>
      <c r="C61" s="107"/>
      <c r="D61" s="60"/>
      <c r="E61" s="46"/>
      <c r="F61" s="132"/>
      <c r="G61" s="21"/>
      <c r="H61" s="83"/>
      <c r="I61" s="20"/>
      <c r="J61" s="21"/>
      <c r="K61" s="83"/>
      <c r="L61" s="20"/>
      <c r="M61" s="21"/>
      <c r="N61" s="229"/>
      <c r="O61" s="116"/>
      <c r="P61" s="154"/>
    </row>
    <row r="62" spans="1:16" s="1" customFormat="1" ht="21" customHeight="1" thickBot="1">
      <c r="A62" s="42" t="str">
        <f t="shared" si="0"/>
        <v/>
      </c>
      <c r="B62" s="204"/>
      <c r="C62" s="155"/>
      <c r="D62" s="56"/>
      <c r="E62" s="184"/>
      <c r="F62" s="145"/>
      <c r="G62" s="21"/>
      <c r="H62" s="53"/>
      <c r="I62" s="53"/>
      <c r="J62" s="21"/>
      <c r="K62" s="53"/>
      <c r="L62" s="53"/>
      <c r="M62" s="21"/>
      <c r="N62" s="229"/>
      <c r="O62" s="116"/>
      <c r="P62" s="154"/>
    </row>
    <row r="63" spans="1:16" s="1" customFormat="1" ht="21" customHeight="1" thickBot="1">
      <c r="A63" s="42" t="str">
        <f t="shared" si="0"/>
        <v/>
      </c>
      <c r="B63" s="209"/>
      <c r="C63" s="160"/>
      <c r="D63" s="171"/>
      <c r="E63" s="187"/>
      <c r="F63" s="139"/>
      <c r="G63" s="21"/>
      <c r="H63" s="191"/>
      <c r="I63" s="54"/>
      <c r="J63" s="21"/>
      <c r="K63" s="191"/>
      <c r="L63" s="54"/>
      <c r="M63" s="21"/>
      <c r="N63" s="229"/>
      <c r="O63" s="116"/>
      <c r="P63" s="154"/>
    </row>
    <row r="64" spans="1:16" s="1" customFormat="1" ht="21" customHeight="1" thickBot="1">
      <c r="A64" s="42" t="str">
        <f t="shared" si="0"/>
        <v/>
      </c>
      <c r="B64" s="212"/>
      <c r="C64" s="107"/>
      <c r="D64" s="60"/>
      <c r="E64" s="46"/>
      <c r="F64" s="132"/>
      <c r="G64" s="21"/>
      <c r="H64" s="83"/>
      <c r="I64" s="20"/>
      <c r="J64" s="21"/>
      <c r="K64" s="83"/>
      <c r="L64" s="20"/>
      <c r="M64" s="21"/>
      <c r="N64" s="229"/>
      <c r="O64" s="116"/>
      <c r="P64" s="154"/>
    </row>
    <row r="65" spans="1:49" ht="21" customHeight="1" thickBot="1">
      <c r="A65" s="42" t="str">
        <f t="shared" si="0"/>
        <v/>
      </c>
      <c r="B65" s="217"/>
      <c r="C65" s="163"/>
      <c r="D65" s="173"/>
      <c r="E65" s="189"/>
      <c r="F65" s="144"/>
      <c r="G65" s="95"/>
      <c r="H65" s="96"/>
      <c r="I65" s="71"/>
      <c r="J65" s="95"/>
      <c r="K65" s="96"/>
      <c r="L65" s="71"/>
      <c r="M65" s="95"/>
      <c r="N65" s="231"/>
      <c r="O65" s="150"/>
      <c r="P65" s="154"/>
      <c r="AU65" s="1"/>
      <c r="AV65" s="1"/>
      <c r="AW65" s="1"/>
    </row>
    <row r="66" spans="1:49" s="97" customFormat="1" ht="21" customHeight="1" thickBot="1">
      <c r="A66" s="42" t="str">
        <f t="shared" si="0"/>
        <v/>
      </c>
      <c r="B66" s="218"/>
      <c r="C66" s="106"/>
      <c r="D66" s="98"/>
      <c r="E66" s="94"/>
      <c r="F66" s="143"/>
      <c r="G66" s="95"/>
      <c r="H66" s="96"/>
      <c r="I66" s="81"/>
      <c r="J66" s="95"/>
      <c r="K66" s="96"/>
      <c r="L66" s="81"/>
      <c r="M66" s="95"/>
      <c r="N66" s="231"/>
      <c r="O66" s="150"/>
      <c r="P66" s="154"/>
    </row>
    <row r="67" spans="1:49" s="97" customFormat="1" ht="21" customHeight="1" thickBot="1">
      <c r="A67" s="42" t="str">
        <f t="shared" si="0"/>
        <v/>
      </c>
      <c r="B67" s="218"/>
      <c r="C67" s="106"/>
      <c r="D67" s="167"/>
      <c r="E67" s="190"/>
      <c r="F67" s="197"/>
      <c r="G67" s="95"/>
      <c r="H67" s="96"/>
      <c r="I67" s="199"/>
      <c r="J67" s="95"/>
      <c r="K67" s="96"/>
      <c r="L67" s="199"/>
      <c r="M67" s="95"/>
      <c r="N67" s="232"/>
      <c r="O67" s="115"/>
      <c r="P67" s="154"/>
    </row>
    <row r="68" spans="1:49" s="97" customFormat="1" ht="21" customHeight="1" thickBot="1">
      <c r="A68" s="42" t="str">
        <f t="shared" si="0"/>
        <v/>
      </c>
      <c r="B68" s="209"/>
      <c r="C68" s="164"/>
      <c r="D68" s="174"/>
      <c r="E68" s="51"/>
      <c r="F68" s="132"/>
      <c r="G68" s="39"/>
      <c r="H68" s="52"/>
      <c r="I68" s="61"/>
      <c r="J68" s="39"/>
      <c r="K68" s="52"/>
      <c r="L68" s="61"/>
      <c r="M68" s="39"/>
      <c r="N68" s="229"/>
      <c r="O68" s="116"/>
      <c r="P68" s="154"/>
    </row>
    <row r="69" spans="1:49" s="97" customFormat="1" ht="21" customHeight="1" thickBot="1">
      <c r="A69" s="42" t="str">
        <f t="shared" si="0"/>
        <v/>
      </c>
      <c r="B69" s="218"/>
      <c r="C69" s="106"/>
      <c r="D69" s="47"/>
      <c r="E69" s="100"/>
      <c r="F69" s="136"/>
      <c r="G69" s="95"/>
      <c r="H69" s="96"/>
      <c r="I69" s="99"/>
      <c r="J69" s="95"/>
      <c r="K69" s="96"/>
      <c r="L69" s="99"/>
      <c r="M69" s="95"/>
      <c r="N69" s="232"/>
      <c r="O69" s="115"/>
      <c r="P69" s="154"/>
    </row>
    <row r="70" spans="1:49" s="97" customFormat="1" ht="21" customHeight="1" thickBot="1">
      <c r="A70" s="42" t="str">
        <f t="shared" si="0"/>
        <v/>
      </c>
      <c r="B70" s="218"/>
      <c r="C70" s="106"/>
      <c r="D70" s="70"/>
      <c r="E70" s="101"/>
      <c r="F70" s="137"/>
      <c r="G70" s="95"/>
      <c r="H70" s="96"/>
      <c r="I70" s="102"/>
      <c r="J70" s="95"/>
      <c r="K70" s="96"/>
      <c r="L70" s="102"/>
      <c r="M70" s="95"/>
      <c r="N70" s="231"/>
      <c r="O70" s="150"/>
      <c r="P70" s="154"/>
    </row>
    <row r="71" spans="1:49" s="97" customFormat="1" ht="21" customHeight="1" thickBot="1">
      <c r="A71" s="42" t="str">
        <f t="shared" si="0"/>
        <v/>
      </c>
      <c r="B71" s="218"/>
      <c r="C71" s="106"/>
      <c r="D71" s="103"/>
      <c r="E71" s="101"/>
      <c r="F71" s="143"/>
      <c r="G71" s="95"/>
      <c r="H71" s="96"/>
      <c r="I71" s="81"/>
      <c r="J71" s="95"/>
      <c r="K71" s="96"/>
      <c r="L71" s="81"/>
      <c r="M71" s="95"/>
      <c r="N71" s="231"/>
      <c r="O71" s="150"/>
      <c r="P71" s="154"/>
    </row>
    <row r="72" spans="1:49" s="97" customFormat="1" ht="21" customHeight="1" thickBot="1">
      <c r="A72" s="42" t="str">
        <f t="shared" ref="A72:A100" si="1">IF(AND(B72="", C72=""), "", ROW()-9)</f>
        <v/>
      </c>
      <c r="B72" s="218"/>
      <c r="C72" s="106"/>
      <c r="D72" s="104"/>
      <c r="E72" s="105"/>
      <c r="F72" s="137"/>
      <c r="G72" s="95"/>
      <c r="H72" s="96"/>
      <c r="I72" s="102"/>
      <c r="J72" s="95"/>
      <c r="K72" s="96"/>
      <c r="L72" s="102"/>
      <c r="M72" s="95"/>
      <c r="N72" s="231"/>
      <c r="O72" s="150"/>
      <c r="P72" s="154"/>
    </row>
    <row r="73" spans="1:49" s="1" customFormat="1" ht="21" customHeight="1" thickBot="1">
      <c r="A73" s="42" t="str">
        <f t="shared" si="1"/>
        <v/>
      </c>
      <c r="B73" s="216"/>
      <c r="C73" s="117"/>
      <c r="D73" s="44"/>
      <c r="E73" s="24"/>
      <c r="F73" s="133"/>
      <c r="G73" s="21"/>
      <c r="H73" s="25"/>
      <c r="I73" s="77"/>
      <c r="J73" s="21"/>
      <c r="K73" s="25"/>
      <c r="L73" s="77"/>
      <c r="M73" s="21"/>
      <c r="N73" s="230"/>
      <c r="O73" s="149"/>
      <c r="P73" s="154"/>
    </row>
    <row r="74" spans="1:49" s="1" customFormat="1" ht="21" customHeight="1" thickBot="1">
      <c r="A74" s="42" t="str">
        <f t="shared" si="1"/>
        <v/>
      </c>
      <c r="B74" s="216"/>
      <c r="C74" s="117"/>
      <c r="D74" s="44"/>
      <c r="E74" s="24"/>
      <c r="F74" s="133"/>
      <c r="G74" s="21"/>
      <c r="H74" s="25"/>
      <c r="I74" s="77"/>
      <c r="J74" s="21"/>
      <c r="K74" s="25"/>
      <c r="L74" s="77"/>
      <c r="M74" s="21"/>
      <c r="N74" s="230"/>
      <c r="O74" s="149"/>
      <c r="P74" s="154"/>
    </row>
    <row r="75" spans="1:49" s="1" customFormat="1" ht="21" customHeight="1" thickBot="1">
      <c r="A75" s="42" t="str">
        <f t="shared" si="1"/>
        <v/>
      </c>
      <c r="B75" s="219"/>
      <c r="C75" s="109"/>
      <c r="D75" s="44"/>
      <c r="E75" s="24"/>
      <c r="F75" s="134"/>
      <c r="G75" s="21"/>
      <c r="H75" s="25"/>
      <c r="I75" s="68"/>
      <c r="J75" s="21"/>
      <c r="K75" s="25"/>
      <c r="L75" s="68"/>
      <c r="M75" s="21"/>
      <c r="N75" s="230"/>
      <c r="O75" s="149"/>
      <c r="P75" s="154"/>
    </row>
    <row r="76" spans="1:49" s="1" customFormat="1" ht="21" customHeight="1" thickBot="1">
      <c r="A76" s="42" t="str">
        <f t="shared" si="1"/>
        <v/>
      </c>
      <c r="B76" s="209"/>
      <c r="C76" s="164"/>
      <c r="D76" s="57"/>
      <c r="E76" s="50"/>
      <c r="F76" s="132"/>
      <c r="G76" s="21"/>
      <c r="H76" s="25"/>
      <c r="I76" s="61"/>
      <c r="J76" s="21"/>
      <c r="K76" s="25"/>
      <c r="L76" s="61"/>
      <c r="M76" s="21"/>
      <c r="N76" s="229"/>
      <c r="O76" s="116"/>
      <c r="P76" s="154"/>
    </row>
    <row r="77" spans="1:49" s="22" customFormat="1" ht="21" customHeight="1" thickBot="1">
      <c r="A77" s="42" t="str">
        <f t="shared" si="1"/>
        <v/>
      </c>
      <c r="B77" s="216"/>
      <c r="C77" s="117"/>
      <c r="D77" s="112"/>
      <c r="E77" s="73"/>
      <c r="F77" s="144"/>
      <c r="G77" s="39"/>
      <c r="H77" s="52"/>
      <c r="I77" s="72"/>
      <c r="J77" s="39"/>
      <c r="K77" s="52"/>
      <c r="L77" s="72"/>
      <c r="M77" s="39"/>
      <c r="N77" s="229"/>
      <c r="O77" s="116"/>
      <c r="P77" s="154"/>
    </row>
    <row r="78" spans="1:49" ht="21" customHeight="1" thickBot="1">
      <c r="A78" s="42" t="str">
        <f t="shared" si="1"/>
        <v/>
      </c>
      <c r="B78" s="220"/>
      <c r="C78" s="165"/>
      <c r="D78" s="178"/>
      <c r="E78" s="188"/>
      <c r="F78" s="133"/>
      <c r="G78" s="21"/>
      <c r="H78" s="25"/>
      <c r="I78" s="77"/>
      <c r="J78" s="21"/>
      <c r="K78" s="25"/>
      <c r="L78" s="77"/>
      <c r="M78" s="21"/>
      <c r="N78" s="230"/>
      <c r="O78" s="149"/>
      <c r="P78" s="154"/>
      <c r="AU78" s="1"/>
      <c r="AV78" s="1"/>
      <c r="AW78" s="1"/>
    </row>
    <row r="79" spans="1:49" s="1" customFormat="1" ht="21" customHeight="1" thickBot="1">
      <c r="A79" s="42" t="str">
        <f t="shared" si="1"/>
        <v/>
      </c>
      <c r="B79" s="209"/>
      <c r="C79" s="164"/>
      <c r="D79" s="180"/>
      <c r="E79" s="24"/>
      <c r="F79" s="133"/>
      <c r="G79" s="21"/>
      <c r="H79" s="25"/>
      <c r="I79" s="77"/>
      <c r="J79" s="21"/>
      <c r="K79" s="25"/>
      <c r="L79" s="77"/>
      <c r="M79" s="21"/>
      <c r="N79" s="230"/>
      <c r="O79" s="149"/>
      <c r="P79" s="154"/>
    </row>
    <row r="80" spans="1:49" s="1" customFormat="1" ht="21" customHeight="1" thickBot="1">
      <c r="A80" s="42" t="str">
        <f t="shared" si="1"/>
        <v/>
      </c>
      <c r="B80" s="216"/>
      <c r="C80" s="117"/>
      <c r="D80" s="44"/>
      <c r="E80" s="24"/>
      <c r="F80" s="133"/>
      <c r="G80" s="21"/>
      <c r="H80" s="25"/>
      <c r="I80" s="77"/>
      <c r="J80" s="21"/>
      <c r="K80" s="25"/>
      <c r="L80" s="77"/>
      <c r="M80" s="21"/>
      <c r="N80" s="230"/>
      <c r="O80" s="149"/>
      <c r="P80" s="154"/>
    </row>
    <row r="81" spans="1:49" s="1" customFormat="1" ht="21" customHeight="1" thickBot="1">
      <c r="A81" s="42" t="str">
        <f t="shared" si="1"/>
        <v/>
      </c>
      <c r="B81" s="216"/>
      <c r="C81" s="117"/>
      <c r="D81" s="86"/>
      <c r="E81" s="74"/>
      <c r="F81" s="133"/>
      <c r="G81" s="21"/>
      <c r="H81" s="25"/>
      <c r="I81" s="77"/>
      <c r="J81" s="21"/>
      <c r="K81" s="25"/>
      <c r="L81" s="77"/>
      <c r="M81" s="21"/>
      <c r="N81" s="230"/>
      <c r="O81" s="149"/>
      <c r="P81" s="154"/>
    </row>
    <row r="82" spans="1:49" s="22" customFormat="1" ht="21" customHeight="1" thickBot="1">
      <c r="A82" s="42" t="str">
        <f t="shared" si="1"/>
        <v/>
      </c>
      <c r="B82" s="209"/>
      <c r="C82" s="164"/>
      <c r="D82" s="177"/>
      <c r="E82" s="193"/>
      <c r="F82" s="133"/>
      <c r="G82" s="39"/>
      <c r="H82" s="52"/>
      <c r="I82" s="77"/>
      <c r="J82" s="39"/>
      <c r="K82" s="52"/>
      <c r="L82" s="77"/>
      <c r="M82" s="39"/>
      <c r="N82" s="229"/>
      <c r="O82" s="116"/>
      <c r="P82" s="154"/>
    </row>
    <row r="83" spans="1:49" s="22" customFormat="1" ht="16.5" customHeight="1" thickBot="1">
      <c r="A83" s="42" t="str">
        <f t="shared" si="1"/>
        <v/>
      </c>
      <c r="B83" s="216"/>
      <c r="C83" s="117"/>
      <c r="D83" s="179"/>
      <c r="E83" s="194"/>
      <c r="F83" s="132"/>
      <c r="G83" s="21"/>
      <c r="H83" s="53"/>
      <c r="I83" s="61"/>
      <c r="J83" s="21"/>
      <c r="K83" s="53"/>
      <c r="L83" s="61"/>
      <c r="M83" s="21"/>
      <c r="N83" s="229"/>
      <c r="O83" s="116"/>
      <c r="P83" s="154"/>
    </row>
    <row r="84" spans="1:49" s="22" customFormat="1" ht="17.25" customHeight="1" thickBot="1">
      <c r="A84" s="42" t="str">
        <f t="shared" si="1"/>
        <v/>
      </c>
      <c r="B84" s="216"/>
      <c r="C84" s="117"/>
      <c r="D84" s="176"/>
      <c r="E84" s="192"/>
      <c r="F84" s="198"/>
      <c r="G84" s="39"/>
      <c r="H84" s="53"/>
      <c r="I84" s="53"/>
      <c r="J84" s="39"/>
      <c r="K84" s="53"/>
      <c r="L84" s="53"/>
      <c r="M84" s="39"/>
      <c r="N84" s="229"/>
      <c r="O84" s="116"/>
      <c r="P84" s="154"/>
    </row>
    <row r="85" spans="1:49" s="1" customFormat="1" ht="21" customHeight="1" thickBot="1">
      <c r="A85" s="42" t="str">
        <f t="shared" si="1"/>
        <v/>
      </c>
      <c r="B85" s="216"/>
      <c r="C85" s="117"/>
      <c r="D85" s="47"/>
      <c r="E85" s="82"/>
      <c r="F85" s="132"/>
      <c r="G85" s="21"/>
      <c r="H85" s="191"/>
      <c r="I85" s="20"/>
      <c r="J85" s="21"/>
      <c r="K85" s="191"/>
      <c r="L85" s="20"/>
      <c r="M85" s="21"/>
      <c r="N85" s="229"/>
      <c r="O85" s="116"/>
      <c r="P85" s="154"/>
    </row>
    <row r="86" spans="1:49" ht="21" customHeight="1" thickBot="1">
      <c r="A86" s="42" t="str">
        <f t="shared" si="1"/>
        <v/>
      </c>
      <c r="B86" s="220"/>
      <c r="C86" s="165"/>
      <c r="D86" s="175"/>
      <c r="E86" s="191"/>
      <c r="F86" s="133"/>
      <c r="G86" s="21"/>
      <c r="H86" s="191"/>
      <c r="I86" s="78"/>
      <c r="J86" s="21"/>
      <c r="K86" s="191"/>
      <c r="L86" s="78"/>
      <c r="M86" s="21"/>
      <c r="N86" s="230"/>
      <c r="O86" s="149"/>
      <c r="P86" s="154"/>
      <c r="AU86" s="1"/>
      <c r="AV86" s="1"/>
      <c r="AW86" s="1"/>
    </row>
    <row r="87" spans="1:49" ht="21" customHeight="1" thickBot="1">
      <c r="A87" s="42" t="str">
        <f t="shared" si="1"/>
        <v/>
      </c>
      <c r="B87" s="221"/>
      <c r="C87" s="166"/>
      <c r="D87" s="178"/>
      <c r="E87" s="188"/>
      <c r="F87" s="133"/>
      <c r="G87" s="21"/>
      <c r="H87" s="25"/>
      <c r="I87" s="77"/>
      <c r="J87" s="21"/>
      <c r="K87" s="25"/>
      <c r="L87" s="77"/>
      <c r="M87" s="21"/>
      <c r="N87" s="230"/>
      <c r="O87" s="149"/>
      <c r="P87" s="154"/>
      <c r="AU87" s="1"/>
      <c r="AV87" s="1"/>
      <c r="AW87" s="1"/>
    </row>
    <row r="88" spans="1:49" ht="21" customHeight="1" thickBot="1">
      <c r="A88" s="42" t="str">
        <f t="shared" si="1"/>
        <v/>
      </c>
      <c r="B88" s="216"/>
      <c r="C88" s="117"/>
      <c r="D88" s="40"/>
      <c r="E88" s="24"/>
      <c r="F88" s="138"/>
      <c r="G88" s="21"/>
      <c r="H88" s="25"/>
      <c r="I88" s="41"/>
      <c r="J88" s="21"/>
      <c r="K88" s="25"/>
      <c r="L88" s="41"/>
      <c r="M88" s="21"/>
      <c r="N88" s="230"/>
      <c r="O88" s="149"/>
      <c r="P88" s="154"/>
      <c r="AU88" s="1"/>
      <c r="AV88" s="1"/>
    </row>
    <row r="89" spans="1:49" ht="21" customHeight="1" thickBot="1">
      <c r="A89" s="42" t="str">
        <f t="shared" si="1"/>
        <v/>
      </c>
      <c r="B89" s="216"/>
      <c r="C89" s="117"/>
      <c r="D89" s="75"/>
      <c r="E89" s="24"/>
      <c r="F89" s="133"/>
      <c r="G89" s="21"/>
      <c r="H89" s="25"/>
      <c r="I89" s="77"/>
      <c r="J89" s="21"/>
      <c r="K89" s="25"/>
      <c r="L89" s="77"/>
      <c r="M89" s="21"/>
      <c r="N89" s="230"/>
      <c r="O89" s="149"/>
      <c r="P89" s="154"/>
    </row>
    <row r="90" spans="1:49" ht="21" customHeight="1" thickBot="1">
      <c r="A90" s="42" t="str">
        <f t="shared" si="1"/>
        <v/>
      </c>
      <c r="B90" s="222"/>
      <c r="C90" s="119"/>
      <c r="D90" s="79"/>
      <c r="E90" s="80"/>
      <c r="F90" s="133"/>
      <c r="G90" s="21"/>
      <c r="H90" s="25"/>
      <c r="I90" s="77"/>
      <c r="J90" s="21"/>
      <c r="K90" s="25"/>
      <c r="L90" s="77"/>
      <c r="M90" s="21"/>
      <c r="N90" s="233"/>
      <c r="O90" s="151"/>
      <c r="P90" s="154"/>
      <c r="AU90" s="1"/>
      <c r="AV90" s="1"/>
      <c r="AW90" s="1"/>
    </row>
    <row r="91" spans="1:49" ht="21" customHeight="1" thickBot="1">
      <c r="A91" s="42" t="str">
        <f t="shared" si="1"/>
        <v/>
      </c>
      <c r="B91" s="220"/>
      <c r="C91" s="165"/>
      <c r="D91" s="44"/>
      <c r="E91" s="24"/>
      <c r="F91" s="133"/>
      <c r="G91" s="21"/>
      <c r="H91" s="25"/>
      <c r="I91" s="77"/>
      <c r="J91" s="21"/>
      <c r="K91" s="25"/>
      <c r="L91" s="77"/>
      <c r="M91" s="21"/>
      <c r="N91" s="230"/>
      <c r="O91" s="149"/>
      <c r="P91" s="154"/>
      <c r="AU91" s="1"/>
      <c r="AV91" s="1"/>
      <c r="AW91" s="1"/>
    </row>
    <row r="92" spans="1:49" s="1" customFormat="1" ht="21" customHeight="1" thickBot="1">
      <c r="A92" s="42" t="str">
        <f t="shared" si="1"/>
        <v/>
      </c>
      <c r="B92" s="216"/>
      <c r="C92" s="117"/>
      <c r="D92" s="44"/>
      <c r="E92" s="24"/>
      <c r="F92" s="133"/>
      <c r="G92" s="21"/>
      <c r="H92" s="25"/>
      <c r="I92" s="77"/>
      <c r="J92" s="21"/>
      <c r="K92" s="25"/>
      <c r="L92" s="77"/>
      <c r="M92" s="21"/>
      <c r="N92" s="230"/>
      <c r="O92" s="149"/>
      <c r="P92" s="154"/>
    </row>
    <row r="93" spans="1:49" s="1" customFormat="1" ht="21" customHeight="1" thickBot="1">
      <c r="A93" s="42" t="str">
        <f t="shared" si="1"/>
        <v/>
      </c>
      <c r="B93" s="216"/>
      <c r="C93" s="117"/>
      <c r="D93" s="181"/>
      <c r="E93" s="24"/>
      <c r="F93" s="133"/>
      <c r="G93" s="21"/>
      <c r="H93" s="25"/>
      <c r="I93" s="77"/>
      <c r="J93" s="21"/>
      <c r="K93" s="25"/>
      <c r="L93" s="77"/>
      <c r="M93" s="21"/>
      <c r="N93" s="230"/>
      <c r="O93" s="149"/>
      <c r="P93" s="154"/>
    </row>
    <row r="94" spans="1:49" s="1" customFormat="1" ht="21" customHeight="1" thickBot="1">
      <c r="A94" s="42" t="str">
        <f t="shared" si="1"/>
        <v/>
      </c>
      <c r="B94" s="209"/>
      <c r="C94" s="164"/>
      <c r="D94" s="182"/>
      <c r="E94" s="51"/>
      <c r="F94" s="132"/>
      <c r="G94" s="39"/>
      <c r="H94" s="52"/>
      <c r="I94" s="61"/>
      <c r="J94" s="39"/>
      <c r="K94" s="52"/>
      <c r="L94" s="61"/>
      <c r="M94" s="39"/>
      <c r="N94" s="229"/>
      <c r="O94" s="116"/>
      <c r="P94" s="154"/>
    </row>
    <row r="95" spans="1:49" s="22" customFormat="1" ht="21" customHeight="1" thickBot="1">
      <c r="A95" s="42" t="str">
        <f t="shared" si="1"/>
        <v/>
      </c>
      <c r="B95" s="216"/>
      <c r="C95" s="117"/>
      <c r="D95" s="112"/>
      <c r="E95" s="73"/>
      <c r="F95" s="144"/>
      <c r="G95" s="39"/>
      <c r="H95" s="52"/>
      <c r="I95" s="72"/>
      <c r="J95" s="39"/>
      <c r="K95" s="52"/>
      <c r="L95" s="72"/>
      <c r="M95" s="39"/>
      <c r="N95" s="229"/>
      <c r="O95" s="116"/>
      <c r="P95" s="154"/>
    </row>
    <row r="96" spans="1:49" s="22" customFormat="1" ht="21" customHeight="1" thickBot="1">
      <c r="A96" s="42" t="str">
        <f t="shared" si="1"/>
        <v/>
      </c>
      <c r="B96" s="216"/>
      <c r="C96" s="117"/>
      <c r="D96" s="56"/>
      <c r="E96" s="82"/>
      <c r="F96" s="132"/>
      <c r="G96" s="21"/>
      <c r="H96" s="83"/>
      <c r="I96" s="20"/>
      <c r="J96" s="21"/>
      <c r="K96" s="83"/>
      <c r="L96" s="20"/>
      <c r="M96" s="21"/>
      <c r="N96" s="229"/>
      <c r="O96" s="116"/>
      <c r="P96" s="154"/>
    </row>
    <row r="97" spans="1:16" s="1" customFormat="1" ht="21" customHeight="1" thickBot="1">
      <c r="A97" s="42" t="str">
        <f t="shared" si="1"/>
        <v/>
      </c>
      <c r="B97" s="216"/>
      <c r="C97" s="117"/>
      <c r="D97" s="45"/>
      <c r="E97" s="46"/>
      <c r="F97" s="132"/>
      <c r="G97" s="21"/>
      <c r="H97" s="25"/>
      <c r="I97" s="61"/>
      <c r="J97" s="21"/>
      <c r="K97" s="25"/>
      <c r="L97" s="61"/>
      <c r="M97" s="21"/>
      <c r="N97" s="229"/>
      <c r="O97" s="116"/>
      <c r="P97" s="154"/>
    </row>
    <row r="98" spans="1:16" s="22" customFormat="1" ht="21" customHeight="1" thickBot="1">
      <c r="A98" s="42" t="str">
        <f t="shared" si="1"/>
        <v/>
      </c>
      <c r="B98" s="216"/>
      <c r="C98" s="117"/>
      <c r="D98" s="112"/>
      <c r="E98" s="73"/>
      <c r="F98" s="144"/>
      <c r="G98" s="39"/>
      <c r="H98" s="52"/>
      <c r="I98" s="72"/>
      <c r="J98" s="39"/>
      <c r="K98" s="52"/>
      <c r="L98" s="72"/>
      <c r="M98" s="39"/>
      <c r="N98" s="229"/>
      <c r="O98" s="116"/>
      <c r="P98" s="154"/>
    </row>
    <row r="99" spans="1:16" s="1" customFormat="1" ht="21" customHeight="1" thickBot="1">
      <c r="A99" s="42" t="str">
        <f t="shared" si="1"/>
        <v/>
      </c>
      <c r="B99" s="216"/>
      <c r="C99" s="117"/>
      <c r="D99" s="45"/>
      <c r="E99" s="46"/>
      <c r="F99" s="132"/>
      <c r="G99" s="21"/>
      <c r="H99" s="25"/>
      <c r="I99" s="61"/>
      <c r="J99" s="21"/>
      <c r="K99" s="25"/>
      <c r="L99" s="61"/>
      <c r="M99" s="21"/>
      <c r="N99" s="229"/>
      <c r="O99" s="116"/>
      <c r="P99" s="154"/>
    </row>
    <row r="100" spans="1:16" s="1" customFormat="1" ht="21" customHeight="1" thickBot="1">
      <c r="A100" s="42" t="str">
        <f t="shared" si="1"/>
        <v/>
      </c>
      <c r="B100" s="209"/>
      <c r="C100" s="130"/>
      <c r="D100" s="183"/>
      <c r="E100" s="24"/>
      <c r="F100" s="139"/>
      <c r="G100" s="21"/>
      <c r="H100" s="25"/>
      <c r="I100" s="38"/>
      <c r="J100" s="21"/>
      <c r="K100" s="25"/>
      <c r="L100" s="38"/>
      <c r="M100" s="21"/>
      <c r="N100" s="230"/>
      <c r="O100" s="149"/>
      <c r="P100" s="154"/>
    </row>
    <row r="101" spans="1:16" s="1" customFormat="1" ht="17.5" thickBot="1">
      <c r="A101" s="252" t="s">
        <v>15</v>
      </c>
      <c r="B101" s="253"/>
      <c r="C101" s="253"/>
      <c r="D101" s="64"/>
      <c r="E101" s="65" t="s">
        <v>16</v>
      </c>
      <c r="F101" s="254" t="e">
        <f>SUM(#REF!)</f>
        <v>#REF!</v>
      </c>
      <c r="G101" s="255"/>
      <c r="H101" s="66" t="s">
        <v>16</v>
      </c>
      <c r="I101" s="254" t="e">
        <f>SUM(#REF!)</f>
        <v>#REF!</v>
      </c>
      <c r="J101" s="255"/>
      <c r="K101" s="66" t="s">
        <v>16</v>
      </c>
      <c r="L101" s="254" t="e">
        <f>SUM(#REF!)</f>
        <v>#REF!</v>
      </c>
      <c r="M101" s="255"/>
      <c r="N101" s="26" t="s">
        <v>17</v>
      </c>
      <c r="O101" s="237" t="e">
        <f>SUM(F101,I101,L101)</f>
        <v>#REF!</v>
      </c>
      <c r="P101" s="200"/>
    </row>
    <row r="102" spans="1:16" s="1" customFormat="1" ht="17.5" thickTop="1">
      <c r="A102" s="27" t="s">
        <v>18</v>
      </c>
      <c r="B102" s="28"/>
      <c r="C102" s="29"/>
      <c r="D102" s="29"/>
      <c r="E102" s="29"/>
      <c r="F102" s="235"/>
      <c r="G102" s="29"/>
      <c r="H102" s="28" t="s">
        <v>19</v>
      </c>
      <c r="I102" s="29"/>
      <c r="J102" s="30"/>
      <c r="K102" s="29"/>
      <c r="L102" s="29"/>
      <c r="M102" s="29"/>
      <c r="N102" s="29"/>
      <c r="O102" s="31"/>
      <c r="P102" s="11"/>
    </row>
    <row r="103" spans="1:16" s="1" customFormat="1" ht="17.5" thickBot="1">
      <c r="A103" s="32" t="s">
        <v>20</v>
      </c>
      <c r="B103" s="33"/>
      <c r="C103" s="34"/>
      <c r="D103" s="34"/>
      <c r="E103" s="34"/>
      <c r="F103" s="236"/>
      <c r="G103" s="34"/>
      <c r="H103" s="33" t="s">
        <v>21</v>
      </c>
      <c r="I103" s="34"/>
      <c r="J103" s="35"/>
      <c r="K103" s="34"/>
      <c r="L103" s="34"/>
      <c r="M103" s="33"/>
      <c r="N103" s="33"/>
      <c r="O103" s="36"/>
      <c r="P103" s="11"/>
    </row>
    <row r="104" spans="1:16" ht="15.5" thickTop="1">
      <c r="A104" s="256" t="s">
        <v>22</v>
      </c>
      <c r="B104" s="257"/>
      <c r="C104" s="257"/>
      <c r="D104" s="257"/>
      <c r="E104" s="257"/>
      <c r="F104" s="257"/>
      <c r="G104" s="257"/>
      <c r="H104" s="257"/>
      <c r="I104" s="258"/>
      <c r="J104" s="265" t="s">
        <v>25</v>
      </c>
      <c r="K104" s="266"/>
      <c r="L104" s="266"/>
      <c r="M104" s="266"/>
      <c r="N104" s="266"/>
      <c r="O104" s="267"/>
    </row>
    <row r="105" spans="1:16" ht="15">
      <c r="A105" s="259"/>
      <c r="B105" s="260"/>
      <c r="C105" s="260"/>
      <c r="D105" s="260"/>
      <c r="E105" s="260"/>
      <c r="F105" s="260"/>
      <c r="G105" s="260"/>
      <c r="H105" s="260"/>
      <c r="I105" s="261"/>
      <c r="J105" s="268"/>
      <c r="K105" s="269"/>
      <c r="L105" s="269"/>
      <c r="M105" s="269"/>
      <c r="N105" s="269"/>
      <c r="O105" s="270"/>
    </row>
    <row r="106" spans="1:16" ht="15">
      <c r="A106" s="259"/>
      <c r="B106" s="260"/>
      <c r="C106" s="260"/>
      <c r="D106" s="260"/>
      <c r="E106" s="260"/>
      <c r="F106" s="260"/>
      <c r="G106" s="260"/>
      <c r="H106" s="260"/>
      <c r="I106" s="261"/>
      <c r="J106" s="268"/>
      <c r="K106" s="269"/>
      <c r="L106" s="269"/>
      <c r="M106" s="269"/>
      <c r="N106" s="269"/>
      <c r="O106" s="270"/>
    </row>
    <row r="107" spans="1:16" ht="15.5" thickBot="1">
      <c r="A107" s="262"/>
      <c r="B107" s="263"/>
      <c r="C107" s="263"/>
      <c r="D107" s="263"/>
      <c r="E107" s="263"/>
      <c r="F107" s="263"/>
      <c r="G107" s="263"/>
      <c r="H107" s="263"/>
      <c r="I107" s="264"/>
      <c r="J107" s="271"/>
      <c r="K107" s="272"/>
      <c r="L107" s="272"/>
      <c r="M107" s="272"/>
      <c r="N107" s="272"/>
      <c r="O107" s="273"/>
    </row>
  </sheetData>
  <sortState ref="A10:S10">
    <sortCondition ref="F10"/>
  </sortState>
  <mergeCells count="17">
    <mergeCell ref="A101:C101"/>
    <mergeCell ref="F101:G101"/>
    <mergeCell ref="I101:J101"/>
    <mergeCell ref="L101:M101"/>
    <mergeCell ref="A104:I107"/>
    <mergeCell ref="J104:O107"/>
    <mergeCell ref="A6:B6"/>
    <mergeCell ref="C6:D6"/>
    <mergeCell ref="A7:B7"/>
    <mergeCell ref="C7:D7"/>
    <mergeCell ref="A1:O1"/>
    <mergeCell ref="A2:O2"/>
    <mergeCell ref="A3:O3"/>
    <mergeCell ref="A4:B4"/>
    <mergeCell ref="C4:F4"/>
    <mergeCell ref="A5:B5"/>
    <mergeCell ref="C5:F5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1234</dc:creator>
  <cp:lastModifiedBy>Max Wen (溫⽂福)</cp:lastModifiedBy>
  <dcterms:created xsi:type="dcterms:W3CDTF">2025-07-21T08:53:29Z</dcterms:created>
  <dcterms:modified xsi:type="dcterms:W3CDTF">2026-08-19T00:48:10Z</dcterms:modified>
</cp:coreProperties>
</file>